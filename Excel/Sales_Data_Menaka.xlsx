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df2756e69f95b45/Documents/IT for Office Level 2/MSEXCELSOFTWARE/"/>
    </mc:Choice>
  </mc:AlternateContent>
  <xr:revisionPtr revIDLastSave="5" documentId="8_{FA6310AD-0960-47BB-8625-0BF2834FC4A1}" xr6:coauthVersionLast="47" xr6:coauthVersionMax="47" xr10:uidLastSave="{41F99D6C-6190-46D0-A42F-5C8514D60B03}"/>
  <bookViews>
    <workbookView xWindow="28680" yWindow="-120" windowWidth="29040" windowHeight="15720" activeTab="1" xr2:uid="{00000000-000D-0000-FFFF-FFFF00000000}"/>
  </bookViews>
  <sheets>
    <sheet name="Pivot Table &amp; Charts" sheetId="2" r:id="rId1"/>
    <sheet name="Sales_Data" sheetId="1" r:id="rId2"/>
  </sheets>
  <definedNames>
    <definedName name="_xlnm._FilterDatabase" localSheetId="1" hidden="1">Sales_Data!$E$1:$E$501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" i="1" l="1"/>
  <c r="M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L13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2" i="1"/>
  <c r="L5" i="1" l="1"/>
  <c r="L3" i="1"/>
</calcChain>
</file>

<file path=xl/sharedStrings.xml><?xml version="1.0" encoding="utf-8"?>
<sst xmlns="http://schemas.openxmlformats.org/spreadsheetml/2006/main" count="1527" uniqueCount="549">
  <si>
    <t>Order ID</t>
  </si>
  <si>
    <t>Date</t>
  </si>
  <si>
    <t>Customer Name</t>
  </si>
  <si>
    <t>Product Name</t>
  </si>
  <si>
    <t>Category</t>
  </si>
  <si>
    <t>Quantity Sold</t>
  </si>
  <si>
    <t>Unit Price</t>
  </si>
  <si>
    <t>Total Sales</t>
  </si>
  <si>
    <t>Tax (10%)</t>
  </si>
  <si>
    <t>Final Amount</t>
  </si>
  <si>
    <t>Teresa Vang</t>
  </si>
  <si>
    <t>Nicholas Lyons</t>
  </si>
  <si>
    <t>Miss Cynthia Owens</t>
  </si>
  <si>
    <t>Jeffrey Mcdonald</t>
  </si>
  <si>
    <t>Nancy Payne</t>
  </si>
  <si>
    <t>Dr. Cory Walton</t>
  </si>
  <si>
    <t>Sharon Burns</t>
  </si>
  <si>
    <t>Juan Wolfe</t>
  </si>
  <si>
    <t>Richard Robles</t>
  </si>
  <si>
    <t>Kristen Mayer</t>
  </si>
  <si>
    <t>Robert Richards</t>
  </si>
  <si>
    <t>Felicia Smith</t>
  </si>
  <si>
    <t>Susan Dixon DDS</t>
  </si>
  <si>
    <t>Micheal Rosales</t>
  </si>
  <si>
    <t>David Marshall</t>
  </si>
  <si>
    <t>Brian Anderson</t>
  </si>
  <si>
    <t>Annette Jefferson</t>
  </si>
  <si>
    <t>Daniel Fletcher</t>
  </si>
  <si>
    <t>Jeremy Bond</t>
  </si>
  <si>
    <t>Matthew Benson</t>
  </si>
  <si>
    <t>Sara Bailey</t>
  </si>
  <si>
    <t>Hunter Morrow</t>
  </si>
  <si>
    <t>John Zimmerman</t>
  </si>
  <si>
    <t>Lisa Wilson</t>
  </si>
  <si>
    <t>Kathy Brown</t>
  </si>
  <si>
    <t>Ashley Sims</t>
  </si>
  <si>
    <t>Veronica Taylor</t>
  </si>
  <si>
    <t>Wendy Duarte</t>
  </si>
  <si>
    <t>Kim Reeves</t>
  </si>
  <si>
    <t>Jay Wilkerson</t>
  </si>
  <si>
    <t>Mr. Brian Becker</t>
  </si>
  <si>
    <t>Ryan Swanson</t>
  </si>
  <si>
    <t>Kristin Washington</t>
  </si>
  <si>
    <t>Paige Nelson</t>
  </si>
  <si>
    <t>Colton Spears MD</t>
  </si>
  <si>
    <t>Karen Cooper</t>
  </si>
  <si>
    <t>Christine Blanchard</t>
  </si>
  <si>
    <t>Mrs. Amanda Davis</t>
  </si>
  <si>
    <t>Gina Knight</t>
  </si>
  <si>
    <t>Cindy Lambert</t>
  </si>
  <si>
    <t>Christopher Walker</t>
  </si>
  <si>
    <t>Thomas Walker</t>
  </si>
  <si>
    <t>Willie Gomez</t>
  </si>
  <si>
    <t>Brenda Miranda</t>
  </si>
  <si>
    <t>Jason Robinson</t>
  </si>
  <si>
    <t>Joanna Wilkerson</t>
  </si>
  <si>
    <t>Kelsey Waters</t>
  </si>
  <si>
    <t>Julie Fuller</t>
  </si>
  <si>
    <t>Jorge Rivera</t>
  </si>
  <si>
    <t>Pamela Curtis</t>
  </si>
  <si>
    <t>Jessica Sandoval</t>
  </si>
  <si>
    <t>Sharon Washington</t>
  </si>
  <si>
    <t>Brett Morris</t>
  </si>
  <si>
    <t>Megan Hughes</t>
  </si>
  <si>
    <t>Christopher Lee</t>
  </si>
  <si>
    <t>Thomas Douglas</t>
  </si>
  <si>
    <t>Terry Anthony</t>
  </si>
  <si>
    <t>Emily Martin</t>
  </si>
  <si>
    <t>Autumn Vazquez</t>
  </si>
  <si>
    <t>Donna Cooper</t>
  </si>
  <si>
    <t>Whitney Huffman</t>
  </si>
  <si>
    <t>Kristen Kim</t>
  </si>
  <si>
    <t>Jason Chaney</t>
  </si>
  <si>
    <t>Patrick Chang</t>
  </si>
  <si>
    <t>Cheryl Meadows</t>
  </si>
  <si>
    <t>Rebecca Carter</t>
  </si>
  <si>
    <t>Melissa Gilbert</t>
  </si>
  <si>
    <t>Alexis Cunningham</t>
  </si>
  <si>
    <t>James Jones</t>
  </si>
  <si>
    <t>Wendy Torres</t>
  </si>
  <si>
    <t>Tonya Jordan</t>
  </si>
  <si>
    <t>Joseph Gonzales</t>
  </si>
  <si>
    <t>Nancy Rivera</t>
  </si>
  <si>
    <t>Amber Jenkins</t>
  </si>
  <si>
    <t>Mark Olsen</t>
  </si>
  <si>
    <t>Mrs. Kristina Boyd</t>
  </si>
  <si>
    <t>Andrea Ayala</t>
  </si>
  <si>
    <t>Christine Martin</t>
  </si>
  <si>
    <t>Michael Chambers</t>
  </si>
  <si>
    <t>Katherine Castro</t>
  </si>
  <si>
    <t>William Smith</t>
  </si>
  <si>
    <t>Lacey Ellis</t>
  </si>
  <si>
    <t>Brooke Lowe</t>
  </si>
  <si>
    <t>Robert Ellis</t>
  </si>
  <si>
    <t>Jeffery Stafford</t>
  </si>
  <si>
    <t>Joe Patton</t>
  </si>
  <si>
    <t>James Smith</t>
  </si>
  <si>
    <t>Jessica Parks</t>
  </si>
  <si>
    <t>Crystal Stewart</t>
  </si>
  <si>
    <t>Joy Stevens</t>
  </si>
  <si>
    <t>Joseph Harmon</t>
  </si>
  <si>
    <t>Matthew Williams</t>
  </si>
  <si>
    <t>Debra Padilla</t>
  </si>
  <si>
    <t>Daniel Richardson</t>
  </si>
  <si>
    <t>Shannon Ellis</t>
  </si>
  <si>
    <t>Tammy Schaefer</t>
  </si>
  <si>
    <t>Mary Wu</t>
  </si>
  <si>
    <t>Marc Davis</t>
  </si>
  <si>
    <t>Michael Horton</t>
  </si>
  <si>
    <t>Rachel Torres</t>
  </si>
  <si>
    <t>Paul Collins</t>
  </si>
  <si>
    <t>George Jordan</t>
  </si>
  <si>
    <t>Wendy Robinson</t>
  </si>
  <si>
    <t>Richard Miller</t>
  </si>
  <si>
    <t>Michael Murphy</t>
  </si>
  <si>
    <t>Gabrielle Greer</t>
  </si>
  <si>
    <t>Linda Smith</t>
  </si>
  <si>
    <t>Katelyn Shah</t>
  </si>
  <si>
    <t>Nancy Herring</t>
  </si>
  <si>
    <t>Mark Hamilton</t>
  </si>
  <si>
    <t>Teresa Carter</t>
  </si>
  <si>
    <t>Brandon White</t>
  </si>
  <si>
    <t>Joshua Kim</t>
  </si>
  <si>
    <t>Terry Lloyd</t>
  </si>
  <si>
    <t>Kenneth Henry</t>
  </si>
  <si>
    <t>Charles Alvarez</t>
  </si>
  <si>
    <t>Zachary Harper</t>
  </si>
  <si>
    <t>Brittany Thompson</t>
  </si>
  <si>
    <t>Melissa Price</t>
  </si>
  <si>
    <t>Thomas Johnson</t>
  </si>
  <si>
    <t>Mike Kim</t>
  </si>
  <si>
    <t>Kelly Leblanc</t>
  </si>
  <si>
    <t>Danielle Zamora</t>
  </si>
  <si>
    <t>Katie Bernard</t>
  </si>
  <si>
    <t>Brett Bryan</t>
  </si>
  <si>
    <t>Edward Welch</t>
  </si>
  <si>
    <t>Ann Butler</t>
  </si>
  <si>
    <t>Danielle Moss</t>
  </si>
  <si>
    <t>Donald Rojas</t>
  </si>
  <si>
    <t>Joshua Moss</t>
  </si>
  <si>
    <t>Jessica Walker</t>
  </si>
  <si>
    <t>William Alvarado</t>
  </si>
  <si>
    <t>Debra Atkins</t>
  </si>
  <si>
    <t>Shannon Taylor</t>
  </si>
  <si>
    <t>Joshua Johnson</t>
  </si>
  <si>
    <t>Morgan Green</t>
  </si>
  <si>
    <t>Michael Robertson</t>
  </si>
  <si>
    <t>Rebecca Gonzalez</t>
  </si>
  <si>
    <t>Olivia Morgan</t>
  </si>
  <si>
    <t>Sharon Smith</t>
  </si>
  <si>
    <t>Brian Graham</t>
  </si>
  <si>
    <t>Alexander Barker</t>
  </si>
  <si>
    <t>James Hayes</t>
  </si>
  <si>
    <t>David Hernandez</t>
  </si>
  <si>
    <t>David Thompson</t>
  </si>
  <si>
    <t>Jacob Martinez</t>
  </si>
  <si>
    <t>Jennifer Harvey</t>
  </si>
  <si>
    <t>Christina Brown</t>
  </si>
  <si>
    <t>John Miller</t>
  </si>
  <si>
    <t>James Fuller</t>
  </si>
  <si>
    <t>James Ford</t>
  </si>
  <si>
    <t>Tyler Cherry</t>
  </si>
  <si>
    <t>Mrs. Brandi Morales</t>
  </si>
  <si>
    <t>Jason Smith</t>
  </si>
  <si>
    <t>Michael Oneal</t>
  </si>
  <si>
    <t>Patricia Carpenter</t>
  </si>
  <si>
    <t>William Ramirez</t>
  </si>
  <si>
    <t>Elizabeth Gardner</t>
  </si>
  <si>
    <t>Sandra Mccoy</t>
  </si>
  <si>
    <t>Kelly Scott</t>
  </si>
  <si>
    <t>Tammy Snow</t>
  </si>
  <si>
    <t>Alyssa Brown</t>
  </si>
  <si>
    <t>Donna Bryant</t>
  </si>
  <si>
    <t>Travis Young</t>
  </si>
  <si>
    <t>William Sutton</t>
  </si>
  <si>
    <t>Lisa Williams</t>
  </si>
  <si>
    <t>Andrew Haley</t>
  </si>
  <si>
    <t>James Brewer</t>
  </si>
  <si>
    <t>Peter Rogers</t>
  </si>
  <si>
    <t>Billy Holloway</t>
  </si>
  <si>
    <t>Alexander Allen</t>
  </si>
  <si>
    <t>Patricia Maldonado</t>
  </si>
  <si>
    <t>Troy Richardson</t>
  </si>
  <si>
    <t>Steven Harris</t>
  </si>
  <si>
    <t>Ricky Carter</t>
  </si>
  <si>
    <t>Jasmine Burke</t>
  </si>
  <si>
    <t>Megan Sanchez</t>
  </si>
  <si>
    <t>Eric Ochoa</t>
  </si>
  <si>
    <t>Jacob Rivera</t>
  </si>
  <si>
    <t>Meghan Ramos</t>
  </si>
  <si>
    <t>Ann Thomas</t>
  </si>
  <si>
    <t>Robert Torres</t>
  </si>
  <si>
    <t>Mr. Adam Johnson</t>
  </si>
  <si>
    <t>Randy Orozco</t>
  </si>
  <si>
    <t>Dale Page</t>
  </si>
  <si>
    <t>Omar Wilson</t>
  </si>
  <si>
    <t>Laura French</t>
  </si>
  <si>
    <t>Brenda Olson</t>
  </si>
  <si>
    <t>Marie Holland</t>
  </si>
  <si>
    <t>Leah Henderson</t>
  </si>
  <si>
    <t>Terry Gregory</t>
  </si>
  <si>
    <t>Daniel Brown</t>
  </si>
  <si>
    <t>Kristin Castillo</t>
  </si>
  <si>
    <t>Hannah Mckenzie</t>
  </si>
  <si>
    <t>Bailey Glover</t>
  </si>
  <si>
    <t>Brenda Valdez</t>
  </si>
  <si>
    <t>Nicholas Lane</t>
  </si>
  <si>
    <t>Catherine Schultz</t>
  </si>
  <si>
    <t>Randy Griffin</t>
  </si>
  <si>
    <t>Catherine Villegas</t>
  </si>
  <si>
    <t>Marcus Delgado</t>
  </si>
  <si>
    <t>Jeffrey Brown</t>
  </si>
  <si>
    <t>Jennifer Burns</t>
  </si>
  <si>
    <t>Carla Hughes</t>
  </si>
  <si>
    <t>Katherine Armstrong</t>
  </si>
  <si>
    <t>David Rocha</t>
  </si>
  <si>
    <t>Rose Green</t>
  </si>
  <si>
    <t>Melissa Thompson</t>
  </si>
  <si>
    <t>Robert Burgess</t>
  </si>
  <si>
    <t>Joanna Jones</t>
  </si>
  <si>
    <t>Kevin Lawrence</t>
  </si>
  <si>
    <t>Allen Bishop</t>
  </si>
  <si>
    <t>Cheryl Smith</t>
  </si>
  <si>
    <t>Derrick Powers</t>
  </si>
  <si>
    <t>Curtis Gardner</t>
  </si>
  <si>
    <t>Katrina Beard</t>
  </si>
  <si>
    <t>Chelsea Jackson</t>
  </si>
  <si>
    <t>Andrew Johnson</t>
  </si>
  <si>
    <t>Jennifer Davis</t>
  </si>
  <si>
    <t>Lawrence Butler</t>
  </si>
  <si>
    <t>Briana Hoffman</t>
  </si>
  <si>
    <t>John Stephenson</t>
  </si>
  <si>
    <t>Joseph Turner</t>
  </si>
  <si>
    <t>Dana Jones</t>
  </si>
  <si>
    <t>Chloe Malone</t>
  </si>
  <si>
    <t>Maria Brooks</t>
  </si>
  <si>
    <t>Melissa Mcguire</t>
  </si>
  <si>
    <t>Sabrina Yang</t>
  </si>
  <si>
    <t>Mary Brown</t>
  </si>
  <si>
    <t>Joseph Marks</t>
  </si>
  <si>
    <t>Kimberly Mccann</t>
  </si>
  <si>
    <t>David Sanchez</t>
  </si>
  <si>
    <t>Noah Barrett</t>
  </si>
  <si>
    <t>Elizabeth Simpson</t>
  </si>
  <si>
    <t>Howard Brooks</t>
  </si>
  <si>
    <t>Kelly Gay</t>
  </si>
  <si>
    <t>Sierra Ball</t>
  </si>
  <si>
    <t>John Nichols</t>
  </si>
  <si>
    <t>Danielle Kaufman DDS</t>
  </si>
  <si>
    <t>Derek Vargas</t>
  </si>
  <si>
    <t>David Stein</t>
  </si>
  <si>
    <t>Jason Gonzalez</t>
  </si>
  <si>
    <t>Toni Murray</t>
  </si>
  <si>
    <t>John Mendez</t>
  </si>
  <si>
    <t>Becky Schmitt</t>
  </si>
  <si>
    <t>Melissa Paul</t>
  </si>
  <si>
    <t>Matthew King</t>
  </si>
  <si>
    <t>Jack Burch</t>
  </si>
  <si>
    <t>Anthony Rodriguez</t>
  </si>
  <si>
    <t>Ronald Turner</t>
  </si>
  <si>
    <t>Alan Vega</t>
  </si>
  <si>
    <t>Theresa Holland</t>
  </si>
  <si>
    <t>Brandi Christensen</t>
  </si>
  <si>
    <t>Casey Morse</t>
  </si>
  <si>
    <t>Jessica Cervantes</t>
  </si>
  <si>
    <t>Gloria Stuart</t>
  </si>
  <si>
    <t>Benjamin Bailey</t>
  </si>
  <si>
    <t>Alexander Wright</t>
  </si>
  <si>
    <t>Bernard Johnson</t>
  </si>
  <si>
    <t>Deborah Rivera</t>
  </si>
  <si>
    <t>Brandon Castillo</t>
  </si>
  <si>
    <t>Stephanie Perez</t>
  </si>
  <si>
    <t>Edward Harris</t>
  </si>
  <si>
    <t>Zachary Gates</t>
  </si>
  <si>
    <t>Tammy Brock</t>
  </si>
  <si>
    <t>Rebecca Jackson</t>
  </si>
  <si>
    <t>Christopher Reed</t>
  </si>
  <si>
    <t>Samantha Figueroa</t>
  </si>
  <si>
    <t>Raymond Lewis</t>
  </si>
  <si>
    <t>Christina Smith</t>
  </si>
  <si>
    <t>Tina Baker</t>
  </si>
  <si>
    <t>Thomas Sanchez</t>
  </si>
  <si>
    <t>Victor Sanchez</t>
  </si>
  <si>
    <t>Sarah Pearson</t>
  </si>
  <si>
    <t>April Carter</t>
  </si>
  <si>
    <t>Marcus Burton</t>
  </si>
  <si>
    <t>James Lee</t>
  </si>
  <si>
    <t>Brandon Brown</t>
  </si>
  <si>
    <t>Gary Clark</t>
  </si>
  <si>
    <t>Anthony Ward</t>
  </si>
  <si>
    <t>Alexander Johnston</t>
  </si>
  <si>
    <t>Robert Gonzalez</t>
  </si>
  <si>
    <t>Derek Johnson</t>
  </si>
  <si>
    <t>John Fleming</t>
  </si>
  <si>
    <t>Carrie Shaw</t>
  </si>
  <si>
    <t>Scott Case DDS</t>
  </si>
  <si>
    <t>Shawn Mccarty</t>
  </si>
  <si>
    <t>Erik Ellis</t>
  </si>
  <si>
    <t>Tami Collins</t>
  </si>
  <si>
    <t>Kelly Brown</t>
  </si>
  <si>
    <t>Jason Hayes</t>
  </si>
  <si>
    <t>Robert Galvan</t>
  </si>
  <si>
    <t>Michele Mercado</t>
  </si>
  <si>
    <t>Christine Wilson</t>
  </si>
  <si>
    <t>Nicole Fitzgerald</t>
  </si>
  <si>
    <t>Rachel Bauer</t>
  </si>
  <si>
    <t>Erin Tran</t>
  </si>
  <si>
    <t>Lisa Miller</t>
  </si>
  <si>
    <t>Mrs. Brianna Gonzales DDS</t>
  </si>
  <si>
    <t>Phillip Gonzalez</t>
  </si>
  <si>
    <t>Michael Sosa</t>
  </si>
  <si>
    <t>Deborah Austin</t>
  </si>
  <si>
    <t>Richard Morgan</t>
  </si>
  <si>
    <t>Craig Ruiz</t>
  </si>
  <si>
    <t>Oscar Jones</t>
  </si>
  <si>
    <t>Matthew Ferguson</t>
  </si>
  <si>
    <t>Gary Roach</t>
  </si>
  <si>
    <t>Laura Coleman</t>
  </si>
  <si>
    <t>John Green</t>
  </si>
  <si>
    <t>Matthew Fox</t>
  </si>
  <si>
    <t>Juan Allen</t>
  </si>
  <si>
    <t>Christopher Anderson</t>
  </si>
  <si>
    <t>Daniel Garcia</t>
  </si>
  <si>
    <t>Jessica Adkins</t>
  </si>
  <si>
    <t>Seth Miller</t>
  </si>
  <si>
    <t>Maria Hernandez</t>
  </si>
  <si>
    <t>Marie Wilkins</t>
  </si>
  <si>
    <t>Maria Frost</t>
  </si>
  <si>
    <t>Benjamin Coleman</t>
  </si>
  <si>
    <t>Jamie Salazar</t>
  </si>
  <si>
    <t>Erika Tran</t>
  </si>
  <si>
    <t>Michael Jones</t>
  </si>
  <si>
    <t>David King</t>
  </si>
  <si>
    <t>Jonathan Rodriguez</t>
  </si>
  <si>
    <t>Amanda Reese</t>
  </si>
  <si>
    <t>Sarah Combs</t>
  </si>
  <si>
    <t>Christopher Hutchinson</t>
  </si>
  <si>
    <t>Brandon Serrano</t>
  </si>
  <si>
    <t>John Woodward</t>
  </si>
  <si>
    <t>John Simpson</t>
  </si>
  <si>
    <t>Robert Hayden</t>
  </si>
  <si>
    <t>Michelle Ramos</t>
  </si>
  <si>
    <t>Christopher Pollard</t>
  </si>
  <si>
    <t>Peter Copeland</t>
  </si>
  <si>
    <t>Brianna Jordan</t>
  </si>
  <si>
    <t>Denise Hudson</t>
  </si>
  <si>
    <t>Heidi Warren</t>
  </si>
  <si>
    <t>Rebecca Larson</t>
  </si>
  <si>
    <t>Charles Welch</t>
  </si>
  <si>
    <t>Karen Fields</t>
  </si>
  <si>
    <t>Savannah Bartlett</t>
  </si>
  <si>
    <t>Tina Woods</t>
  </si>
  <si>
    <t>Benjamin Green</t>
  </si>
  <si>
    <t>Sara Chung</t>
  </si>
  <si>
    <t>Lauren Schwartz</t>
  </si>
  <si>
    <t>Craig Tyler</t>
  </si>
  <si>
    <t>Toni Hall</t>
  </si>
  <si>
    <t>Amy Mercado</t>
  </si>
  <si>
    <t>Kenneth Steele</t>
  </si>
  <si>
    <t>Tara Vaughn</t>
  </si>
  <si>
    <t>Nicholas Sanders</t>
  </si>
  <si>
    <t>Emily Hodge</t>
  </si>
  <si>
    <t>Jeremy Potts</t>
  </si>
  <si>
    <t>Christine Reyes</t>
  </si>
  <si>
    <t>Dawn Mitchell</t>
  </si>
  <si>
    <t>Jonathan Tran</t>
  </si>
  <si>
    <t>Veronica Smith</t>
  </si>
  <si>
    <t>Emily Mcdonald</t>
  </si>
  <si>
    <t>Kayla Contreras</t>
  </si>
  <si>
    <t>Mr. John Leblanc</t>
  </si>
  <si>
    <t>Alyssa Thompson</t>
  </si>
  <si>
    <t>Martin Duffy</t>
  </si>
  <si>
    <t>Donna Burch</t>
  </si>
  <si>
    <t>Dawn Flores</t>
  </si>
  <si>
    <t>Roger Sherman</t>
  </si>
  <si>
    <t>Nancy Allen</t>
  </si>
  <si>
    <t>Dawn Jones</t>
  </si>
  <si>
    <t>Samantha Williams</t>
  </si>
  <si>
    <t>Shawn Copeland</t>
  </si>
  <si>
    <t>Emily Maynard</t>
  </si>
  <si>
    <t>Paula Guzman</t>
  </si>
  <si>
    <t>Tina Wood</t>
  </si>
  <si>
    <t>Amanda Walker</t>
  </si>
  <si>
    <t>Jimmy Adkins</t>
  </si>
  <si>
    <t>Jill Mann</t>
  </si>
  <si>
    <t>Samantha Mckinney</t>
  </si>
  <si>
    <t>Gregory Watkins</t>
  </si>
  <si>
    <t>Nicole Taylor</t>
  </si>
  <si>
    <t>Andrea Williams</t>
  </si>
  <si>
    <t>James Obrien</t>
  </si>
  <si>
    <t>Denise Gibson</t>
  </si>
  <si>
    <t>Vicki White</t>
  </si>
  <si>
    <t>Todd Collins</t>
  </si>
  <si>
    <t>Joseph Mueller</t>
  </si>
  <si>
    <t>Dana Park</t>
  </si>
  <si>
    <t>Dana Rodriguez</t>
  </si>
  <si>
    <t>Roger White</t>
  </si>
  <si>
    <t>Maria Flores</t>
  </si>
  <si>
    <t>Joshua Allen DVM</t>
  </si>
  <si>
    <t>Luis Herrera</t>
  </si>
  <si>
    <t>Brenda Hicks</t>
  </si>
  <si>
    <t>Tyler Smith</t>
  </si>
  <si>
    <t>Mrs. Amber Lewis</t>
  </si>
  <si>
    <t>Nicole Evans</t>
  </si>
  <si>
    <t>Vanessa Nguyen</t>
  </si>
  <si>
    <t>Timothy Hall</t>
  </si>
  <si>
    <t>Kathleen Miller</t>
  </si>
  <si>
    <t>Janet Smith</t>
  </si>
  <si>
    <t>Christopher Perkins</t>
  </si>
  <si>
    <t>Patricia Underwood</t>
  </si>
  <si>
    <t>Miss Marissa Lopez DDS</t>
  </si>
  <si>
    <t>Brianna Thompson</t>
  </si>
  <si>
    <t>Amy Martin MD</t>
  </si>
  <si>
    <t>Isaiah Sanford</t>
  </si>
  <si>
    <t>Renee Morris</t>
  </si>
  <si>
    <t>Heather Pruitt</t>
  </si>
  <si>
    <t>Ashley Munoz</t>
  </si>
  <si>
    <t>Kimberly Beasley</t>
  </si>
  <si>
    <t>Laura Phillips</t>
  </si>
  <si>
    <t>Joseph Hartman</t>
  </si>
  <si>
    <t>Brittany Campbell</t>
  </si>
  <si>
    <t>Ralph Mccoy</t>
  </si>
  <si>
    <t>Emily Hall</t>
  </si>
  <si>
    <t>Wendy Jones</t>
  </si>
  <si>
    <t>Shannon Murphy</t>
  </si>
  <si>
    <t>David Day</t>
  </si>
  <si>
    <t>Erica Peterson</t>
  </si>
  <si>
    <t>Anthony Riley</t>
  </si>
  <si>
    <t>Brittany Castro</t>
  </si>
  <si>
    <t>Debra French</t>
  </si>
  <si>
    <t>Frank Carson</t>
  </si>
  <si>
    <t>Jennifer Espinoza</t>
  </si>
  <si>
    <t>Angela Cook</t>
  </si>
  <si>
    <t>Anita Jackson</t>
  </si>
  <si>
    <t>Larry Kim</t>
  </si>
  <si>
    <t>Ashley Ray</t>
  </si>
  <si>
    <t>David Young</t>
  </si>
  <si>
    <t>Dwayne Coleman</t>
  </si>
  <si>
    <t>Katherine Anderson</t>
  </si>
  <si>
    <t>Jeremiah Lynch</t>
  </si>
  <si>
    <t>Alisha Vasquez</t>
  </si>
  <si>
    <t>Miguel Christian</t>
  </si>
  <si>
    <t>Kimberly Lindsey</t>
  </si>
  <si>
    <t>Matthew Lee</t>
  </si>
  <si>
    <t>Amy Wall</t>
  </si>
  <si>
    <t>Jennifer Frey</t>
  </si>
  <si>
    <t>Mary Galvan</t>
  </si>
  <si>
    <t>Maria Ramirez</t>
  </si>
  <si>
    <t>Tracy Adams</t>
  </si>
  <si>
    <t>Troy Mcmahon</t>
  </si>
  <si>
    <t>Pamela Terrell</t>
  </si>
  <si>
    <t>Harry Daugherty</t>
  </si>
  <si>
    <t>Beth Brown</t>
  </si>
  <si>
    <t>Jeremiah Henderson</t>
  </si>
  <si>
    <t>Amy Glenn</t>
  </si>
  <si>
    <t>Rebecca Moore</t>
  </si>
  <si>
    <t>Robert Burch DVM</t>
  </si>
  <si>
    <t>Kevin Tapia</t>
  </si>
  <si>
    <t>Roger Howard</t>
  </si>
  <si>
    <t>Susan Beard</t>
  </si>
  <si>
    <t>Tyler Richard</t>
  </si>
  <si>
    <t>Maria Buchanan</t>
  </si>
  <si>
    <t>Andrew Landry</t>
  </si>
  <si>
    <t>Eric Horne</t>
  </si>
  <si>
    <t>Amanda Harper</t>
  </si>
  <si>
    <t>Brian Lane</t>
  </si>
  <si>
    <t>Angela Smith</t>
  </si>
  <si>
    <t>Kaitlyn Maddox</t>
  </si>
  <si>
    <t>Suzanne Nguyen</t>
  </si>
  <si>
    <t>Christopher Miller</t>
  </si>
  <si>
    <t>Michelle Herrera MD</t>
  </si>
  <si>
    <t>Laura Quinn</t>
  </si>
  <si>
    <t>Jennifer Turner</t>
  </si>
  <si>
    <t>David Walker</t>
  </si>
  <si>
    <t>James Bradley</t>
  </si>
  <si>
    <t>Melissa Torres</t>
  </si>
  <si>
    <t>Angela Perez</t>
  </si>
  <si>
    <t>William Paul</t>
  </si>
  <si>
    <t>John Miranda</t>
  </si>
  <si>
    <t>Douglas Ford</t>
  </si>
  <si>
    <t>Michael Miller</t>
  </si>
  <si>
    <t>Rebecca Byrd</t>
  </si>
  <si>
    <t>Yolanda Sweeney</t>
  </si>
  <si>
    <t>Stephen Santos</t>
  </si>
  <si>
    <t>Joseph Mclaughlin</t>
  </si>
  <si>
    <t>Robert Long</t>
  </si>
  <si>
    <t>Adam Chen</t>
  </si>
  <si>
    <t>Daniel Clark</t>
  </si>
  <si>
    <t>Deborah Simmons</t>
  </si>
  <si>
    <t>Shane Bowers</t>
  </si>
  <si>
    <t>Kimberly Clarke</t>
  </si>
  <si>
    <t>Lisa Thomas</t>
  </si>
  <si>
    <t>Joshua Carter</t>
  </si>
  <si>
    <t>Jeffrey Smith</t>
  </si>
  <si>
    <t>Shawn Roberts</t>
  </si>
  <si>
    <t>Marisa Roberts</t>
  </si>
  <si>
    <t>Karen Johnson</t>
  </si>
  <si>
    <t>Kari Weber</t>
  </si>
  <si>
    <t>Peter Walker</t>
  </si>
  <si>
    <t>Kevin Young</t>
  </si>
  <si>
    <t>Daisy Miller</t>
  </si>
  <si>
    <t>Hector Leonard</t>
  </si>
  <si>
    <t>Amy Bentley</t>
  </si>
  <si>
    <t>Heather Hernandez</t>
  </si>
  <si>
    <t>Michelle Carlson</t>
  </si>
  <si>
    <t>Jason Barber</t>
  </si>
  <si>
    <t>Philip Wood</t>
  </si>
  <si>
    <t>Pamela Morgan</t>
  </si>
  <si>
    <t>Jacket</t>
  </si>
  <si>
    <t>Desk</t>
  </si>
  <si>
    <t>Jeans</t>
  </si>
  <si>
    <t>Vegetables</t>
  </si>
  <si>
    <t>Sofa</t>
  </si>
  <si>
    <t>Eggs</t>
  </si>
  <si>
    <t>Office Chair</t>
  </si>
  <si>
    <t>Smartphone</t>
  </si>
  <si>
    <t>Milk</t>
  </si>
  <si>
    <t>Board Game</t>
  </si>
  <si>
    <t>Sweater</t>
  </si>
  <si>
    <t>Puzzle</t>
  </si>
  <si>
    <t>Laptop</t>
  </si>
  <si>
    <t>Shoes</t>
  </si>
  <si>
    <t>Tablet</t>
  </si>
  <si>
    <t>Bookshelf</t>
  </si>
  <si>
    <t>Dining Table</t>
  </si>
  <si>
    <t>Fruits</t>
  </si>
  <si>
    <t>Doll</t>
  </si>
  <si>
    <t>Headphones</t>
  </si>
  <si>
    <t>Smartwatch</t>
  </si>
  <si>
    <t>Bread</t>
  </si>
  <si>
    <t>Action Figure</t>
  </si>
  <si>
    <t>T-Shirt</t>
  </si>
  <si>
    <t>Lego Set</t>
  </si>
  <si>
    <t>Clothing</t>
  </si>
  <si>
    <t>Furniture</t>
  </si>
  <si>
    <t>Groceries</t>
  </si>
  <si>
    <t>Electronics</t>
  </si>
  <si>
    <t>Toys</t>
  </si>
  <si>
    <t>Row Labels</t>
  </si>
  <si>
    <t>Grand Total</t>
  </si>
  <si>
    <t>Sum of Total Sales</t>
  </si>
  <si>
    <t>Total Sales New</t>
  </si>
  <si>
    <t>Final Total Amout</t>
  </si>
  <si>
    <t>No .o f sales &gt; 1000</t>
  </si>
  <si>
    <t>Product</t>
  </si>
  <si>
    <t>Category using XLOOKUP</t>
  </si>
  <si>
    <t>Category using VLOOKUP</t>
  </si>
  <si>
    <t>HIGH/LOW</t>
  </si>
  <si>
    <t>HIGH/MEDIUM/LOW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</si>
</sst>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2" xfId="0" applyFont="1" applyBorder="1" applyAlignment="1">
      <alignment horizontal="center" vertical="top" wrapText="1"/>
    </xf>
    <xf numFmtId="0" fontId="1" fillId="0" borderId="0" xfId="0" applyFont="1"/>
    <xf numFmtId="0" fontId="1" fillId="0" borderId="3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Protection="1">
      <protection locked="0"/>
    </xf>
  </cellXfs>
  <cellStyles count="1">
    <cellStyle name="Normal" xfId="0" builtinId="0"/>
  </cellStyles>
  <dxfs count="9"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[Sales_Data_Menaka.xlsx]Pivot Table &amp; Charts!PivotTable1</c:name>
    <c:fmtId val="0"/>
  </c:pivotSource>
  <c:chart>
    <c:title>
      <c:layout>
        <c:manualLayout>
          <c:xMode val="edge"/>
          <c:yMode val="edge"/>
          <c:x val="0.36750000000000005"/>
          <c:y val="0.198053368328958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 &amp; Charts'!$B$3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CDF-4739-B892-9A68CDC290F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CDF-4739-B892-9A68CDC290F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CDF-4739-B892-9A68CDC290F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CDF-4739-B892-9A68CDC290F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CDF-4739-B892-9A68CDC290F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 &amp; Charts'!$A$4:$A$9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Groceries</c:v>
                </c:pt>
                <c:pt idx="4">
                  <c:v>Toys</c:v>
                </c:pt>
              </c:strCache>
            </c:strRef>
          </c:cat>
          <c:val>
            <c:numRef>
              <c:f>'Pivot Table &amp; Charts'!$B$4:$B$9</c:f>
              <c:numCache>
                <c:formatCode>General</c:formatCode>
                <c:ptCount val="5"/>
                <c:pt idx="0">
                  <c:v>142793.44999999995</c:v>
                </c:pt>
                <c:pt idx="1">
                  <c:v>129354.23000000004</c:v>
                </c:pt>
                <c:pt idx="2">
                  <c:v>155485.09000000008</c:v>
                </c:pt>
                <c:pt idx="3">
                  <c:v>141726.45000000013</c:v>
                </c:pt>
                <c:pt idx="4">
                  <c:v>132513.16999999998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0C-4FE3-BDA5-0D2E38D307C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[Sales_Data_Menaka.xlsx]Pivot Table &amp; Charts!PivotTable1</c:name>
    <c:fmtId val="1"/>
  </c:pivotSource>
  <c:chart>
    <c:title>
      <c:layout>
        <c:manualLayout>
          <c:xMode val="edge"/>
          <c:yMode val="edge"/>
          <c:x val="0.59250000000000014"/>
          <c:y val="0.906386701662292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&amp; Charts'!$B$3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&amp; Charts'!$A$4:$A$9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Groceries</c:v>
                </c:pt>
                <c:pt idx="4">
                  <c:v>Toys</c:v>
                </c:pt>
              </c:strCache>
            </c:strRef>
          </c:cat>
          <c:val>
            <c:numRef>
              <c:f>'Pivot Table &amp; Charts'!$B$4:$B$9</c:f>
              <c:numCache>
                <c:formatCode>General</c:formatCode>
                <c:ptCount val="5"/>
                <c:pt idx="0">
                  <c:v>142793.44999999995</c:v>
                </c:pt>
                <c:pt idx="1">
                  <c:v>129354.23000000004</c:v>
                </c:pt>
                <c:pt idx="2">
                  <c:v>155485.09000000008</c:v>
                </c:pt>
                <c:pt idx="3">
                  <c:v>141726.45000000013</c:v>
                </c:pt>
                <c:pt idx="4">
                  <c:v>132513.16999999998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7B-4F84-A592-B33A99D6A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0082176"/>
        <c:axId val="810083136"/>
      </c:barChart>
      <c:catAx>
        <c:axId val="810082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083136"/>
        <c:crosses val="autoZero"/>
        <c:auto val="1"/>
        <c:lblAlgn val="ctr"/>
        <c:lblOffset val="100"/>
        <c:noMultiLvlLbl val="0"/>
      </c:catAx>
      <c:valAx>
        <c:axId val="81008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082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305058</xdr:colOff>
      <xdr:row>0</xdr:row>
      <xdr:rowOff>26239</xdr:rowOff>
    </xdr:from>
    <xdr:to>
      <xdr:col>9</xdr:col>
      <xdr:colOff>25399</xdr:colOff>
      <xdr:row>12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FB6FCE-0639-CB7C-8429-4783976EDF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311150</xdr:colOff>
      <xdr:row>13</xdr:row>
      <xdr:rowOff>120650</xdr:rowOff>
    </xdr:from>
    <xdr:to>
      <xdr:col>9</xdr:col>
      <xdr:colOff>69850</xdr:colOff>
      <xdr:row>25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C3D6AA-4A9E-6463-1A31-93545E6E3F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naka" refreshedDate="46041.581566319444" createdVersion="8" refreshedVersion="8" minRefreshableVersion="3" recordCount="500" xr:uid="{071652C6-2225-4684-80C2-580D45BCBE29}">
  <cacheSource type="worksheet">
    <worksheetSource ref="A1:J501" sheet="Sales_Data"/>
  </cacheSource>
  <cacheFields count="10">
    <cacheField name="Order ID" numFmtId="0">
      <sharedItems containsSemiMixedTypes="0" containsString="0" containsNumber="1" containsInteger="1" minValue="1" maxValue="500"/>
    </cacheField>
    <cacheField name="Date" numFmtId="164">
      <sharedItems containsSemiMixedTypes="0" containsNonDate="0" containsDate="1" containsString="0" minDate="2024-02-05T00:00:00" maxDate="2025-02-03T00:00:00"/>
    </cacheField>
    <cacheField name="Customer Name" numFmtId="0">
      <sharedItems/>
    </cacheField>
    <cacheField name="Product Name" numFmtId="0">
      <sharedItems/>
    </cacheField>
    <cacheField name="Category" numFmtId="0">
      <sharedItems count="5">
        <s v="Furniture"/>
        <s v="Clothing"/>
        <s v="Toys"/>
        <s v="Groceries"/>
        <s v="Electronics"/>
      </sharedItems>
    </cacheField>
    <cacheField name="Quantity Sold" numFmtId="0">
      <sharedItems containsSemiMixedTypes="0" containsString="0" containsNumber="1" containsInteger="1" minValue="1" maxValue="10"/>
    </cacheField>
    <cacheField name="Unit Price" numFmtId="0">
      <sharedItems containsSemiMixedTypes="0" containsString="0" containsNumber="1" minValue="5.34" maxValue="499.18"/>
    </cacheField>
    <cacheField name="Total Sales" numFmtId="0">
      <sharedItems containsSemiMixedTypes="0" containsString="0" containsNumber="1" minValue="8.58" maxValue="4871"/>
    </cacheField>
    <cacheField name="Tax (10%)" numFmtId="0">
      <sharedItems containsSemiMixedTypes="0" containsString="0" containsNumber="1" minValue="0.86" maxValue="487.1"/>
    </cacheField>
    <cacheField name="Final Amount" numFmtId="0">
      <sharedItems containsSemiMixedTypes="0" containsString="0" containsNumber="1" minValue="9.44" maxValue="5358.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57"/>
    <d v="2024-02-17T00:00:00"/>
    <s v="Terry Anthony"/>
    <s v="Dining Table"/>
    <x v="0"/>
    <n v="10"/>
    <n v="487.1"/>
    <n v="4871"/>
    <n v="487.1"/>
    <n v="5358.1"/>
  </r>
  <r>
    <n v="256"/>
    <d v="2024-10-03T00:00:00"/>
    <s v="Gloria Stuart"/>
    <s v="T-Shirt"/>
    <x v="1"/>
    <n v="10"/>
    <n v="472.51"/>
    <n v="4725.1000000000004"/>
    <n v="472.51"/>
    <n v="5197.6099999999997"/>
  </r>
  <r>
    <n v="85"/>
    <d v="2024-04-26T00:00:00"/>
    <s v="Jeffery Stafford"/>
    <s v="Board Game"/>
    <x v="2"/>
    <n v="10"/>
    <n v="468.01"/>
    <n v="4680.1000000000004"/>
    <n v="468.01"/>
    <n v="5148.1099999999997"/>
  </r>
  <r>
    <n v="482"/>
    <d v="2024-07-15T00:00:00"/>
    <s v="Shane Bowers"/>
    <s v="T-Shirt"/>
    <x v="1"/>
    <n v="9"/>
    <n v="499.18"/>
    <n v="4492.62"/>
    <n v="449.26"/>
    <n v="4941.88"/>
  </r>
  <r>
    <n v="35"/>
    <d v="2024-02-08T00:00:00"/>
    <s v="Colton Spears MD"/>
    <s v="Fruits"/>
    <x v="3"/>
    <n v="10"/>
    <n v="445.76"/>
    <n v="4457.6000000000004"/>
    <n v="445.76"/>
    <n v="4903.3599999999997"/>
  </r>
  <r>
    <n v="71"/>
    <d v="2024-05-12T00:00:00"/>
    <s v="Tonya Jordan"/>
    <s v="Smartphone"/>
    <x v="4"/>
    <n v="9"/>
    <n v="494.71"/>
    <n v="4452.3900000000003"/>
    <n v="445.24"/>
    <n v="4897.63"/>
  </r>
  <r>
    <n v="366"/>
    <d v="2024-04-28T00:00:00"/>
    <s v="Dawn Flores"/>
    <s v="Headphones"/>
    <x v="4"/>
    <n v="9"/>
    <n v="494.18"/>
    <n v="4447.62"/>
    <n v="444.76"/>
    <n v="4892.38"/>
  </r>
  <r>
    <n v="461"/>
    <d v="2024-06-08T00:00:00"/>
    <s v="Suzanne Nguyen"/>
    <s v="Sweater"/>
    <x v="1"/>
    <n v="9"/>
    <n v="487.43"/>
    <n v="4386.87"/>
    <n v="438.69"/>
    <n v="4825.5600000000004"/>
  </r>
  <r>
    <n v="394"/>
    <d v="2024-02-13T00:00:00"/>
    <s v="Tyler Smith"/>
    <s v="T-Shirt"/>
    <x v="1"/>
    <n v="9"/>
    <n v="484.35"/>
    <n v="4359.1499999999996"/>
    <n v="435.91"/>
    <n v="4795.0600000000004"/>
  </r>
  <r>
    <n v="500"/>
    <d v="2024-09-25T00:00:00"/>
    <s v="Pamela Morgan"/>
    <s v="Sofa"/>
    <x v="0"/>
    <n v="10"/>
    <n v="434.71"/>
    <n v="4347.1000000000004"/>
    <n v="434.71"/>
    <n v="4781.8100000000004"/>
  </r>
  <r>
    <n v="8"/>
    <d v="2025-01-25T00:00:00"/>
    <s v="Juan Wolfe"/>
    <s v="Smartphone"/>
    <x v="4"/>
    <n v="9"/>
    <n v="482.57"/>
    <n v="4343.13"/>
    <n v="434.31"/>
    <n v="4777.4399999999996"/>
  </r>
  <r>
    <n v="384"/>
    <d v="2024-12-27T00:00:00"/>
    <s v="Vicki White"/>
    <s v="Bread"/>
    <x v="3"/>
    <n v="10"/>
    <n v="433.81"/>
    <n v="4338.1000000000004"/>
    <n v="433.81"/>
    <n v="4771.91"/>
  </r>
  <r>
    <n v="90"/>
    <d v="2024-10-19T00:00:00"/>
    <s v="Joy Stevens"/>
    <s v="Doll"/>
    <x v="2"/>
    <n v="10"/>
    <n v="423.7"/>
    <n v="4237"/>
    <n v="423.7"/>
    <n v="4660.7"/>
  </r>
  <r>
    <n v="148"/>
    <d v="2024-09-07T00:00:00"/>
    <s v="Christina Brown"/>
    <s v="Tablet"/>
    <x v="4"/>
    <n v="10"/>
    <n v="401.02"/>
    <n v="4010.2"/>
    <n v="401.02"/>
    <n v="4411.22"/>
  </r>
  <r>
    <n v="170"/>
    <d v="2024-02-26T00:00:00"/>
    <s v="Billy Holloway"/>
    <s v="Headphones"/>
    <x v="4"/>
    <n v="9"/>
    <n v="444.17"/>
    <n v="3997.53"/>
    <n v="399.75"/>
    <n v="4397.28"/>
  </r>
  <r>
    <n v="73"/>
    <d v="2025-01-13T00:00:00"/>
    <s v="Nancy Rivera"/>
    <s v="Fruits"/>
    <x v="3"/>
    <n v="9"/>
    <n v="436.79"/>
    <n v="3931.11"/>
    <n v="393.11"/>
    <n v="4324.22"/>
  </r>
  <r>
    <n v="404"/>
    <d v="2024-05-19T00:00:00"/>
    <s v="Brianna Thompson"/>
    <s v="Vegetables"/>
    <x v="3"/>
    <n v="9"/>
    <n v="431.67"/>
    <n v="3885.03"/>
    <n v="388.5"/>
    <n v="4273.53"/>
  </r>
  <r>
    <n v="29"/>
    <d v="2024-08-09T00:00:00"/>
    <s v="Kim Reeves"/>
    <s v="Bookshelf"/>
    <x v="0"/>
    <n v="9"/>
    <n v="429.65"/>
    <n v="3866.85"/>
    <n v="386.69"/>
    <n v="4253.54"/>
  </r>
  <r>
    <n v="398"/>
    <d v="2025-01-09T00:00:00"/>
    <s v="Timothy Hall"/>
    <s v="Action Figure"/>
    <x v="2"/>
    <n v="9"/>
    <n v="428.29"/>
    <n v="3854.61"/>
    <n v="385.46"/>
    <n v="4240.07"/>
  </r>
  <r>
    <n v="439"/>
    <d v="2024-10-30T00:00:00"/>
    <s v="Mary Galvan"/>
    <s v="Eggs"/>
    <x v="3"/>
    <n v="9"/>
    <n v="424.16"/>
    <n v="3817.44"/>
    <n v="381.74"/>
    <n v="4199.18"/>
  </r>
  <r>
    <n v="159"/>
    <d v="2024-11-07T00:00:00"/>
    <s v="Sandra Mccoy"/>
    <s v="Eggs"/>
    <x v="3"/>
    <n v="8"/>
    <n v="474.71"/>
    <n v="3797.68"/>
    <n v="379.77"/>
    <n v="4177.45"/>
  </r>
  <r>
    <n v="145"/>
    <d v="2025-01-01T00:00:00"/>
    <s v="David Thompson"/>
    <s v="Sweater"/>
    <x v="1"/>
    <n v="8"/>
    <n v="471.84"/>
    <n v="3774.72"/>
    <n v="377.47"/>
    <n v="4152.1899999999996"/>
  </r>
  <r>
    <n v="290"/>
    <d v="2024-08-11T00:00:00"/>
    <s v="Erik Ellis"/>
    <s v="Dining Table"/>
    <x v="0"/>
    <n v="9"/>
    <n v="416.48"/>
    <n v="3748.32"/>
    <n v="374.83"/>
    <n v="4123.1499999999996"/>
  </r>
  <r>
    <n v="430"/>
    <d v="2024-10-16T00:00:00"/>
    <s v="Dwayne Coleman"/>
    <s v="Jeans"/>
    <x v="1"/>
    <n v="9"/>
    <n v="414.96"/>
    <n v="3734.64"/>
    <n v="373.46"/>
    <n v="4108.1000000000004"/>
  </r>
  <r>
    <n v="280"/>
    <d v="2024-02-08T00:00:00"/>
    <s v="Brandon Brown"/>
    <s v="Puzzle"/>
    <x v="2"/>
    <n v="8"/>
    <n v="455.07"/>
    <n v="3640.56"/>
    <n v="364.06"/>
    <n v="4004.62"/>
  </r>
  <r>
    <n v="485"/>
    <d v="2024-08-22T00:00:00"/>
    <s v="Joshua Carter"/>
    <s v="Board Game"/>
    <x v="2"/>
    <n v="8"/>
    <n v="452.74"/>
    <n v="3621.92"/>
    <n v="362.19"/>
    <n v="3984.11"/>
  </r>
  <r>
    <n v="222"/>
    <d v="2025-01-18T00:00:00"/>
    <s v="John Stephenson"/>
    <s v="Office Chair"/>
    <x v="0"/>
    <n v="8"/>
    <n v="449.57"/>
    <n v="3596.56"/>
    <n v="359.66"/>
    <n v="3956.22"/>
  </r>
  <r>
    <n v="269"/>
    <d v="2024-05-26T00:00:00"/>
    <s v="Christopher Reed"/>
    <s v="Board Game"/>
    <x v="2"/>
    <n v="9"/>
    <n v="399.11"/>
    <n v="3591.99"/>
    <n v="359.2"/>
    <n v="3951.19"/>
  </r>
  <r>
    <n v="211"/>
    <d v="2024-05-16T00:00:00"/>
    <s v="Kevin Lawrence"/>
    <s v="Shoes"/>
    <x v="1"/>
    <n v="9"/>
    <n v="399.09"/>
    <n v="3591.81"/>
    <n v="359.18"/>
    <n v="3950.99"/>
  </r>
  <r>
    <n v="275"/>
    <d v="2024-03-24T00:00:00"/>
    <s v="Victor Sanchez"/>
    <s v="Jacket"/>
    <x v="1"/>
    <n v="10"/>
    <n v="354.34"/>
    <n v="3543.4"/>
    <n v="354.34"/>
    <n v="3897.74"/>
  </r>
  <r>
    <n v="156"/>
    <d v="2025-02-02T00:00:00"/>
    <s v="Patricia Carpenter"/>
    <s v="Vegetables"/>
    <x v="3"/>
    <n v="8"/>
    <n v="442.65"/>
    <n v="3541.2"/>
    <n v="354.12"/>
    <n v="3895.32"/>
  </r>
  <r>
    <n v="34"/>
    <d v="2024-11-17T00:00:00"/>
    <s v="Paige Nelson"/>
    <s v="Puzzle"/>
    <x v="2"/>
    <n v="10"/>
    <n v="353"/>
    <n v="3530"/>
    <n v="353"/>
    <n v="3883"/>
  </r>
  <r>
    <n v="141"/>
    <d v="2024-11-18T00:00:00"/>
    <s v="Brian Graham"/>
    <s v="Jacket"/>
    <x v="1"/>
    <n v="9"/>
    <n v="391.96"/>
    <n v="3527.64"/>
    <n v="352.76"/>
    <n v="3880.4"/>
  </r>
  <r>
    <n v="442"/>
    <d v="2024-03-23T00:00:00"/>
    <s v="Troy Mcmahon"/>
    <s v="Dining Table"/>
    <x v="0"/>
    <n v="9"/>
    <n v="390.93"/>
    <n v="3518.37"/>
    <n v="351.84"/>
    <n v="3870.21"/>
  </r>
  <r>
    <n v="188"/>
    <d v="2024-02-27T00:00:00"/>
    <s v="Brenda Olson"/>
    <s v="T-Shirt"/>
    <x v="1"/>
    <n v="8"/>
    <n v="438.49"/>
    <n v="3507.92"/>
    <n v="350.79"/>
    <n v="3858.71"/>
  </r>
  <r>
    <n v="340"/>
    <d v="2024-07-20T00:00:00"/>
    <s v="Rebecca Larson"/>
    <s v="Tablet"/>
    <x v="4"/>
    <n v="10"/>
    <n v="350.3"/>
    <n v="3503"/>
    <n v="350.3"/>
    <n v="3853.3"/>
  </r>
  <r>
    <n v="426"/>
    <d v="2024-07-26T00:00:00"/>
    <s v="Anita Jackson"/>
    <s v="Milk"/>
    <x v="3"/>
    <n v="10"/>
    <n v="347.22"/>
    <n v="3472.2"/>
    <n v="347.22"/>
    <n v="3819.42"/>
  </r>
  <r>
    <n v="350"/>
    <d v="2024-11-16T00:00:00"/>
    <s v="Amy Mercado"/>
    <s v="Action Figure"/>
    <x v="2"/>
    <n v="9"/>
    <n v="378.41"/>
    <n v="3405.69"/>
    <n v="340.57"/>
    <n v="3746.26"/>
  </r>
  <r>
    <n v="235"/>
    <d v="2024-05-11T00:00:00"/>
    <s v="Howard Brooks"/>
    <s v="Shoes"/>
    <x v="1"/>
    <n v="8"/>
    <n v="425.18"/>
    <n v="3401.44"/>
    <n v="340.14"/>
    <n v="3741.58"/>
  </r>
  <r>
    <n v="185"/>
    <d v="2024-12-21T00:00:00"/>
    <s v="Dale Page"/>
    <s v="Desk"/>
    <x v="0"/>
    <n v="9"/>
    <n v="362.23"/>
    <n v="3260.07"/>
    <n v="326.01"/>
    <n v="3586.08"/>
  </r>
  <r>
    <n v="489"/>
    <d v="2024-10-18T00:00:00"/>
    <s v="Karen Johnson"/>
    <s v="Tablet"/>
    <x v="4"/>
    <n v="7"/>
    <n v="457.54"/>
    <n v="3202.78"/>
    <n v="320.27999999999997"/>
    <n v="3523.06"/>
  </r>
  <r>
    <n v="164"/>
    <d v="2025-01-22T00:00:00"/>
    <s v="Travis Young"/>
    <s v="Sofa"/>
    <x v="0"/>
    <n v="7"/>
    <n v="448.49"/>
    <n v="3139.43"/>
    <n v="313.94"/>
    <n v="3453.37"/>
  </r>
  <r>
    <n v="7"/>
    <d v="2024-09-25T00:00:00"/>
    <s v="Sharon Burns"/>
    <s v="Office Chair"/>
    <x v="0"/>
    <n v="7"/>
    <n v="447.53"/>
    <n v="3132.71"/>
    <n v="313.27"/>
    <n v="3445.98"/>
  </r>
  <r>
    <n v="329"/>
    <d v="2024-10-06T00:00:00"/>
    <s v="Christopher Hutchinson"/>
    <s v="Dining Table"/>
    <x v="0"/>
    <n v="9"/>
    <n v="345.97"/>
    <n v="3113.73"/>
    <n v="311.37"/>
    <n v="3425.1"/>
  </r>
  <r>
    <n v="338"/>
    <d v="2024-06-10T00:00:00"/>
    <s v="Denise Hudson"/>
    <s v="Jeans"/>
    <x v="1"/>
    <n v="10"/>
    <n v="309.04000000000002"/>
    <n v="3090.4"/>
    <n v="309.04000000000002"/>
    <n v="3399.44"/>
  </r>
  <r>
    <n v="246"/>
    <d v="2024-10-14T00:00:00"/>
    <s v="Melissa Paul"/>
    <s v="T-Shirt"/>
    <x v="1"/>
    <n v="9"/>
    <n v="341.86"/>
    <n v="3076.74"/>
    <n v="307.67"/>
    <n v="3384.41"/>
  </r>
  <r>
    <n v="292"/>
    <d v="2024-08-01T00:00:00"/>
    <s v="Kelly Brown"/>
    <s v="Smartphone"/>
    <x v="4"/>
    <n v="9"/>
    <n v="339.61"/>
    <n v="3056.49"/>
    <n v="305.64999999999998"/>
    <n v="3362.14"/>
  </r>
  <r>
    <n v="40"/>
    <d v="2024-04-24T00:00:00"/>
    <s v="Cindy Lambert"/>
    <s v="Desk"/>
    <x v="0"/>
    <n v="8"/>
    <n v="381.86"/>
    <n v="3054.88"/>
    <n v="305.49"/>
    <n v="3360.37"/>
  </r>
  <r>
    <n v="48"/>
    <d v="2024-02-12T00:00:00"/>
    <s v="Julie Fuller"/>
    <s v="Eggs"/>
    <x v="3"/>
    <n v="7"/>
    <n v="433.85"/>
    <n v="3036.95"/>
    <n v="303.69"/>
    <n v="3340.64"/>
  </r>
  <r>
    <n v="376"/>
    <d v="2024-08-28T00:00:00"/>
    <s v="Jimmy Adkins"/>
    <s v="Desk"/>
    <x v="0"/>
    <n v="7"/>
    <n v="430.79"/>
    <n v="3015.53"/>
    <n v="301.55"/>
    <n v="3317.08"/>
  </r>
  <r>
    <n v="95"/>
    <d v="2024-07-24T00:00:00"/>
    <s v="Shannon Ellis"/>
    <s v="Sofa"/>
    <x v="0"/>
    <n v="6"/>
    <n v="498.5"/>
    <n v="2991"/>
    <n v="299.10000000000002"/>
    <n v="3290.1"/>
  </r>
  <r>
    <n v="122"/>
    <d v="2024-03-01T00:00:00"/>
    <s v="Kelly Leblanc"/>
    <s v="Sofa"/>
    <x v="0"/>
    <n v="7"/>
    <n v="425.77"/>
    <n v="2980.39"/>
    <n v="298.04000000000002"/>
    <n v="3278.43"/>
  </r>
  <r>
    <n v="473"/>
    <d v="2024-04-03T00:00:00"/>
    <s v="Michael Miller"/>
    <s v="Milk"/>
    <x v="3"/>
    <n v="8"/>
    <n v="369.57"/>
    <n v="2956.56"/>
    <n v="295.66000000000003"/>
    <n v="3252.22"/>
  </r>
  <r>
    <n v="72"/>
    <d v="2024-07-27T00:00:00"/>
    <s v="Joseph Gonzales"/>
    <s v="Sweater"/>
    <x v="1"/>
    <n v="9"/>
    <n v="326.60000000000002"/>
    <n v="2939.4"/>
    <n v="293.94"/>
    <n v="3233.34"/>
  </r>
  <r>
    <n v="468"/>
    <d v="2024-10-10T00:00:00"/>
    <s v="Melissa Torres"/>
    <s v="Office Chair"/>
    <x v="0"/>
    <n v="7"/>
    <n v="419.48"/>
    <n v="2936.36"/>
    <n v="293.64"/>
    <n v="3230"/>
  </r>
  <r>
    <n v="162"/>
    <d v="2024-02-10T00:00:00"/>
    <s v="Alyssa Brown"/>
    <s v="Sofa"/>
    <x v="0"/>
    <n v="6"/>
    <n v="489.05"/>
    <n v="2934.3"/>
    <n v="293.43"/>
    <n v="3227.73"/>
  </r>
  <r>
    <n v="279"/>
    <d v="2024-06-07T00:00:00"/>
    <s v="James Lee"/>
    <s v="Headphones"/>
    <x v="4"/>
    <n v="8"/>
    <n v="366.04"/>
    <n v="2928.32"/>
    <n v="292.83"/>
    <n v="3221.15"/>
  </r>
  <r>
    <n v="214"/>
    <d v="2024-08-12T00:00:00"/>
    <s v="Derrick Powers"/>
    <s v="Bookshelf"/>
    <x v="0"/>
    <n v="6"/>
    <n v="486.38"/>
    <n v="2918.28"/>
    <n v="291.83"/>
    <n v="3210.11"/>
  </r>
  <r>
    <n v="349"/>
    <d v="2024-05-06T00:00:00"/>
    <s v="Toni Hall"/>
    <s v="Shoes"/>
    <x v="1"/>
    <n v="6"/>
    <n v="486.17"/>
    <n v="2917.02"/>
    <n v="291.7"/>
    <n v="3208.72"/>
  </r>
  <r>
    <n v="319"/>
    <d v="2024-02-19T00:00:00"/>
    <s v="Marie Wilkins"/>
    <s v="Office Chair"/>
    <x v="0"/>
    <n v="9"/>
    <n v="320.18"/>
    <n v="2881.62"/>
    <n v="288.16000000000003"/>
    <n v="3169.78"/>
  </r>
  <r>
    <n v="477"/>
    <d v="2024-09-21T00:00:00"/>
    <s v="Joseph Mclaughlin"/>
    <s v="Eggs"/>
    <x v="3"/>
    <n v="7"/>
    <n v="408.85"/>
    <n v="2861.95"/>
    <n v="286.19"/>
    <n v="3148.14"/>
  </r>
  <r>
    <n v="487"/>
    <d v="2024-07-28T00:00:00"/>
    <s v="Shawn Roberts"/>
    <s v="Dining Table"/>
    <x v="0"/>
    <n v="6"/>
    <n v="476.18"/>
    <n v="2857.08"/>
    <n v="285.70999999999998"/>
    <n v="3142.79"/>
  </r>
  <r>
    <n v="405"/>
    <d v="2024-10-23T00:00:00"/>
    <s v="Amy Martin MD"/>
    <s v="Laptop"/>
    <x v="4"/>
    <n v="9"/>
    <n v="316.64"/>
    <n v="2849.76"/>
    <n v="284.98"/>
    <n v="3134.74"/>
  </r>
  <r>
    <n v="331"/>
    <d v="2024-12-22T00:00:00"/>
    <s v="John Woodward"/>
    <s v="Puzzle"/>
    <x v="2"/>
    <n v="10"/>
    <n v="283.72000000000003"/>
    <n v="2837.2"/>
    <n v="283.72000000000003"/>
    <n v="3120.92"/>
  </r>
  <r>
    <n v="106"/>
    <d v="2024-08-25T00:00:00"/>
    <s v="Gabrielle Greer"/>
    <s v="Smartphone"/>
    <x v="4"/>
    <n v="10"/>
    <n v="281.77"/>
    <n v="2817.7"/>
    <n v="281.77"/>
    <n v="3099.47"/>
  </r>
  <r>
    <n v="332"/>
    <d v="2024-04-03T00:00:00"/>
    <s v="John Simpson"/>
    <s v="Sofa"/>
    <x v="0"/>
    <n v="9"/>
    <n v="312.47000000000003"/>
    <n v="2812.23"/>
    <n v="281.22000000000003"/>
    <n v="3093.45"/>
  </r>
  <r>
    <n v="284"/>
    <d v="2024-04-29T00:00:00"/>
    <s v="Robert Gonzalez"/>
    <s v="Action Figure"/>
    <x v="2"/>
    <n v="10"/>
    <n v="280.2"/>
    <n v="2802"/>
    <n v="280.2"/>
    <n v="3082.2"/>
  </r>
  <r>
    <n v="146"/>
    <d v="2024-08-19T00:00:00"/>
    <s v="Jacob Martinez"/>
    <s v="Eggs"/>
    <x v="3"/>
    <n v="7"/>
    <n v="398.51"/>
    <n v="2789.57"/>
    <n v="278.95999999999998"/>
    <n v="3068.53"/>
  </r>
  <r>
    <n v="304"/>
    <d v="2024-02-21T00:00:00"/>
    <s v="Deborah Austin"/>
    <s v="Office Chair"/>
    <x v="0"/>
    <n v="6"/>
    <n v="459.88"/>
    <n v="2759.28"/>
    <n v="275.93"/>
    <n v="3035.21"/>
  </r>
  <r>
    <n v="168"/>
    <d v="2024-02-13T00:00:00"/>
    <s v="James Brewer"/>
    <s v="Fruits"/>
    <x v="3"/>
    <n v="9"/>
    <n v="306.52"/>
    <n v="2758.68"/>
    <n v="275.87"/>
    <n v="3034.55"/>
  </r>
  <r>
    <n v="451"/>
    <d v="2024-11-15T00:00:00"/>
    <s v="Roger Howard"/>
    <s v="Action Figure"/>
    <x v="2"/>
    <n v="6"/>
    <n v="456.92"/>
    <n v="2741.52"/>
    <n v="274.14999999999998"/>
    <n v="3015.67"/>
  </r>
  <r>
    <n v="363"/>
    <d v="2024-08-20T00:00:00"/>
    <s v="Alyssa Thompson"/>
    <s v="Doll"/>
    <x v="2"/>
    <n v="6"/>
    <n v="454.59"/>
    <n v="2727.54"/>
    <n v="272.75"/>
    <n v="3000.29"/>
  </r>
  <r>
    <n v="466"/>
    <d v="2025-01-05T00:00:00"/>
    <s v="David Walker"/>
    <s v="Jeans"/>
    <x v="1"/>
    <n v="7"/>
    <n v="386.81"/>
    <n v="2707.67"/>
    <n v="270.77"/>
    <n v="2978.44"/>
  </r>
  <r>
    <n v="462"/>
    <d v="2024-07-19T00:00:00"/>
    <s v="Christopher Miller"/>
    <s v="Board Game"/>
    <x v="2"/>
    <n v="6"/>
    <n v="449.63"/>
    <n v="2697.78"/>
    <n v="269.77999999999997"/>
    <n v="2967.56"/>
  </r>
  <r>
    <n v="54"/>
    <d v="2024-09-10T00:00:00"/>
    <s v="Megan Hughes"/>
    <s v="Laptop"/>
    <x v="4"/>
    <n v="7"/>
    <n v="383.27"/>
    <n v="2682.89"/>
    <n v="268.29000000000002"/>
    <n v="2951.18"/>
  </r>
  <r>
    <n v="96"/>
    <d v="2024-05-15T00:00:00"/>
    <s v="Tammy Schaefer"/>
    <s v="Vegetables"/>
    <x v="3"/>
    <n v="6"/>
    <n v="446.91"/>
    <n v="2681.46"/>
    <n v="268.14999999999998"/>
    <n v="2949.61"/>
  </r>
  <r>
    <n v="182"/>
    <d v="2024-08-31T00:00:00"/>
    <s v="Robert Torres"/>
    <s v="Office Chair"/>
    <x v="0"/>
    <n v="6"/>
    <n v="445.29"/>
    <n v="2671.74"/>
    <n v="267.17"/>
    <n v="2938.91"/>
  </r>
  <r>
    <n v="490"/>
    <d v="2024-08-28T00:00:00"/>
    <s v="Kari Weber"/>
    <s v="Smartphone"/>
    <x v="4"/>
    <n v="7"/>
    <n v="379.66"/>
    <n v="2657.62"/>
    <n v="265.76"/>
    <n v="2923.38"/>
  </r>
  <r>
    <n v="285"/>
    <d v="2024-02-16T00:00:00"/>
    <s v="Derek Johnson"/>
    <s v="Desk"/>
    <x v="0"/>
    <n v="10"/>
    <n v="265.38"/>
    <n v="2653.8"/>
    <n v="265.38"/>
    <n v="2919.18"/>
  </r>
  <r>
    <n v="326"/>
    <d v="2024-12-14T00:00:00"/>
    <s v="Jonathan Rodriguez"/>
    <s v="Doll"/>
    <x v="2"/>
    <n v="8"/>
    <n v="331.37"/>
    <n v="2650.96"/>
    <n v="265.10000000000002"/>
    <n v="2916.06"/>
  </r>
  <r>
    <n v="226"/>
    <d v="2024-06-22T00:00:00"/>
    <s v="Maria Brooks"/>
    <s v="Smartphone"/>
    <x v="4"/>
    <n v="10"/>
    <n v="263.77999999999997"/>
    <n v="2637.8"/>
    <n v="263.77999999999997"/>
    <n v="2901.58"/>
  </r>
  <r>
    <n v="75"/>
    <d v="2024-12-24T00:00:00"/>
    <s v="Mark Olsen"/>
    <s v="Vegetables"/>
    <x v="3"/>
    <n v="6"/>
    <n v="435.09"/>
    <n v="2610.54"/>
    <n v="261.05"/>
    <n v="2871.59"/>
  </r>
  <r>
    <n v="364"/>
    <d v="2024-11-16T00:00:00"/>
    <s v="Martin Duffy"/>
    <s v="Vegetables"/>
    <x v="3"/>
    <n v="6"/>
    <n v="435.04"/>
    <n v="2610.2399999999998"/>
    <n v="261.02"/>
    <n v="2871.26"/>
  </r>
  <r>
    <n v="286"/>
    <d v="2024-07-26T00:00:00"/>
    <s v="John Fleming"/>
    <s v="Board Game"/>
    <x v="2"/>
    <n v="7"/>
    <n v="372.19"/>
    <n v="2605.33"/>
    <n v="260.52999999999997"/>
    <n v="2865.86"/>
  </r>
  <r>
    <n v="343"/>
    <d v="2024-04-16T00:00:00"/>
    <s v="Savannah Bartlett"/>
    <s v="Bread"/>
    <x v="3"/>
    <n v="6"/>
    <n v="434.13"/>
    <n v="2604.7800000000002"/>
    <n v="260.48"/>
    <n v="2865.26"/>
  </r>
  <r>
    <n v="52"/>
    <d v="2024-04-07T00:00:00"/>
    <s v="Sharon Washington"/>
    <s v="Milk"/>
    <x v="3"/>
    <n v="8"/>
    <n v="319.41000000000003"/>
    <n v="2555.2800000000002"/>
    <n v="255.53"/>
    <n v="2810.81"/>
  </r>
  <r>
    <n v="249"/>
    <d v="2024-08-01T00:00:00"/>
    <s v="Anthony Rodriguez"/>
    <s v="Shoes"/>
    <x v="1"/>
    <n v="8"/>
    <n v="315.33"/>
    <n v="2522.64"/>
    <n v="252.26"/>
    <n v="2774.9"/>
  </r>
  <r>
    <n v="375"/>
    <d v="2024-04-22T00:00:00"/>
    <s v="Amanda Walker"/>
    <s v="Lego Set"/>
    <x v="2"/>
    <n v="6"/>
    <n v="418.06"/>
    <n v="2508.36"/>
    <n v="250.84"/>
    <n v="2759.2"/>
  </r>
  <r>
    <n v="208"/>
    <d v="2024-10-29T00:00:00"/>
    <s v="Melissa Thompson"/>
    <s v="Action Figure"/>
    <x v="2"/>
    <n v="6"/>
    <n v="415.93"/>
    <n v="2495.58"/>
    <n v="249.56"/>
    <n v="2745.14"/>
  </r>
  <r>
    <n v="110"/>
    <d v="2024-08-02T00:00:00"/>
    <s v="Mark Hamilton"/>
    <s v="Dining Table"/>
    <x v="0"/>
    <n v="9"/>
    <n v="275.47000000000003"/>
    <n v="2479.23"/>
    <n v="247.92"/>
    <n v="2727.15"/>
  </r>
  <r>
    <n v="260"/>
    <d v="2024-10-23T00:00:00"/>
    <s v="Deborah Rivera"/>
    <s v="Headphones"/>
    <x v="4"/>
    <n v="7"/>
    <n v="353.43"/>
    <n v="2474.0100000000002"/>
    <n v="247.4"/>
    <n v="2721.41"/>
  </r>
  <r>
    <n v="353"/>
    <d v="2024-03-08T00:00:00"/>
    <s v="Nicholas Sanders"/>
    <s v="Fruits"/>
    <x v="3"/>
    <n v="10"/>
    <n v="247.39"/>
    <n v="2473.9"/>
    <n v="247.39"/>
    <n v="2721.29"/>
  </r>
  <r>
    <n v="192"/>
    <d v="2024-09-09T00:00:00"/>
    <s v="Daniel Brown"/>
    <s v="Board Game"/>
    <x v="2"/>
    <n v="5"/>
    <n v="493.48"/>
    <n v="2467.4"/>
    <n v="246.74"/>
    <n v="2714.14"/>
  </r>
  <r>
    <n v="322"/>
    <d v="2024-10-26T00:00:00"/>
    <s v="Jamie Salazar"/>
    <s v="Office Chair"/>
    <x v="0"/>
    <n v="5"/>
    <n v="491.31"/>
    <n v="2456.5500000000002"/>
    <n v="245.66"/>
    <n v="2702.21"/>
  </r>
  <r>
    <n v="417"/>
    <d v="2024-04-25T00:00:00"/>
    <s v="Shannon Murphy"/>
    <s v="Sofa"/>
    <x v="0"/>
    <n v="8"/>
    <n v="306.98"/>
    <n v="2455.84"/>
    <n v="245.58"/>
    <n v="2701.42"/>
  </r>
  <r>
    <n v="173"/>
    <d v="2024-08-24T00:00:00"/>
    <s v="Troy Richardson"/>
    <s v="Headphones"/>
    <x v="4"/>
    <n v="5"/>
    <n v="490.23"/>
    <n v="2451.15"/>
    <n v="245.12"/>
    <n v="2696.27"/>
  </r>
  <r>
    <n v="172"/>
    <d v="2024-03-02T00:00:00"/>
    <s v="Patricia Maldonado"/>
    <s v="Jacket"/>
    <x v="1"/>
    <n v="7"/>
    <n v="349.57"/>
    <n v="2446.9899999999998"/>
    <n v="244.7"/>
    <n v="2691.69"/>
  </r>
  <r>
    <n v="306"/>
    <d v="2024-02-29T00:00:00"/>
    <s v="Craig Ruiz"/>
    <s v="Doll"/>
    <x v="2"/>
    <n v="5"/>
    <n v="485.01"/>
    <n v="2425.0500000000002"/>
    <n v="242.51"/>
    <n v="2667.56"/>
  </r>
  <r>
    <n v="165"/>
    <d v="2025-01-30T00:00:00"/>
    <s v="William Sutton"/>
    <s v="Sofa"/>
    <x v="0"/>
    <n v="7"/>
    <n v="346.43"/>
    <n v="2425.0100000000002"/>
    <n v="242.5"/>
    <n v="2667.51"/>
  </r>
  <r>
    <n v="88"/>
    <d v="2024-04-06T00:00:00"/>
    <s v="Jessica Parks"/>
    <s v="Bread"/>
    <x v="3"/>
    <n v="6"/>
    <n v="403.62"/>
    <n v="2421.7199999999998"/>
    <n v="242.17"/>
    <n v="2663.89"/>
  </r>
  <r>
    <n v="378"/>
    <d v="2024-08-15T00:00:00"/>
    <s v="Samantha Mckinney"/>
    <s v="Desk"/>
    <x v="0"/>
    <n v="10"/>
    <n v="239.69"/>
    <n v="2396.9"/>
    <n v="239.69"/>
    <n v="2636.59"/>
  </r>
  <r>
    <n v="478"/>
    <d v="2024-03-18T00:00:00"/>
    <s v="Robert Long"/>
    <s v="Headphones"/>
    <x v="4"/>
    <n v="7"/>
    <n v="339.85"/>
    <n v="2378.9499999999998"/>
    <n v="237.89"/>
    <n v="2616.84"/>
  </r>
  <r>
    <n v="492"/>
    <d v="2024-04-16T00:00:00"/>
    <s v="Kevin Young"/>
    <s v="Puzzle"/>
    <x v="2"/>
    <n v="5"/>
    <n v="475.27"/>
    <n v="2376.35"/>
    <n v="237.63"/>
    <n v="2613.98"/>
  </r>
  <r>
    <n v="486"/>
    <d v="2024-06-04T00:00:00"/>
    <s v="Jeffrey Smith"/>
    <s v="T-Shirt"/>
    <x v="1"/>
    <n v="7"/>
    <n v="336.56"/>
    <n v="2355.92"/>
    <n v="235.59"/>
    <n v="2591.5100000000002"/>
  </r>
  <r>
    <n v="12"/>
    <d v="2024-04-23T00:00:00"/>
    <s v="Felicia Smith"/>
    <s v="Sweater"/>
    <x v="1"/>
    <n v="10"/>
    <n v="233.19"/>
    <n v="2331.9"/>
    <n v="233.19"/>
    <n v="2565.09"/>
  </r>
  <r>
    <n v="126"/>
    <d v="2024-04-28T00:00:00"/>
    <s v="Edward Welch"/>
    <s v="Bread"/>
    <x v="3"/>
    <n v="10"/>
    <n v="232.8"/>
    <n v="2328"/>
    <n v="232.8"/>
    <n v="2560.8000000000002"/>
  </r>
  <r>
    <n v="309"/>
    <d v="2024-06-20T00:00:00"/>
    <s v="Gary Roach"/>
    <s v="Laptop"/>
    <x v="4"/>
    <n v="6"/>
    <n v="387.49"/>
    <n v="2324.94"/>
    <n v="232.49"/>
    <n v="2557.4299999999998"/>
  </r>
  <r>
    <n v="127"/>
    <d v="2024-07-14T00:00:00"/>
    <s v="Ann Butler"/>
    <s v="Shoes"/>
    <x v="1"/>
    <n v="6"/>
    <n v="385.84"/>
    <n v="2315.04"/>
    <n v="231.5"/>
    <n v="2546.54"/>
  </r>
  <r>
    <n v="377"/>
    <d v="2024-08-03T00:00:00"/>
    <s v="Jill Mann"/>
    <s v="T-Shirt"/>
    <x v="1"/>
    <n v="5"/>
    <n v="462.05"/>
    <n v="2310.25"/>
    <n v="231.03"/>
    <n v="2541.2800000000002"/>
  </r>
  <r>
    <n v="367"/>
    <d v="2024-02-17T00:00:00"/>
    <s v="Roger Sherman"/>
    <s v="Sofa"/>
    <x v="0"/>
    <n v="6"/>
    <n v="384.71"/>
    <n v="2308.2600000000002"/>
    <n v="230.83"/>
    <n v="2539.09"/>
  </r>
  <r>
    <n v="221"/>
    <d v="2024-09-17T00:00:00"/>
    <s v="Briana Hoffman"/>
    <s v="Jacket"/>
    <x v="1"/>
    <n v="6"/>
    <n v="383.68"/>
    <n v="2302.08"/>
    <n v="230.21"/>
    <n v="2532.29"/>
  </r>
  <r>
    <n v="344"/>
    <d v="2024-07-21T00:00:00"/>
    <s v="Tina Woods"/>
    <s v="Desk"/>
    <x v="0"/>
    <n v="6"/>
    <n v="378.81"/>
    <n v="2272.86"/>
    <n v="227.29"/>
    <n v="2500.15"/>
  </r>
  <r>
    <n v="116"/>
    <d v="2024-02-29T00:00:00"/>
    <s v="Charles Alvarez"/>
    <s v="Fruits"/>
    <x v="3"/>
    <n v="6"/>
    <n v="378.72"/>
    <n v="2272.3200000000002"/>
    <n v="227.23"/>
    <n v="2499.5500000000002"/>
  </r>
  <r>
    <n v="254"/>
    <d v="2024-12-03T00:00:00"/>
    <s v="Casey Morse"/>
    <s v="Office Chair"/>
    <x v="0"/>
    <n v="5"/>
    <n v="454"/>
    <n v="2270"/>
    <n v="227"/>
    <n v="2497"/>
  </r>
  <r>
    <n v="356"/>
    <d v="2024-05-28T00:00:00"/>
    <s v="Christine Reyes"/>
    <s v="Lego Set"/>
    <x v="2"/>
    <n v="5"/>
    <n v="453.36"/>
    <n v="2266.8000000000002"/>
    <n v="226.68"/>
    <n v="2493.48"/>
  </r>
  <r>
    <n v="283"/>
    <d v="2024-05-31T00:00:00"/>
    <s v="Alexander Johnston"/>
    <s v="Bookshelf"/>
    <x v="0"/>
    <n v="8"/>
    <n v="282.14999999999998"/>
    <n v="2257.1999999999998"/>
    <n v="225.72"/>
    <n v="2482.92"/>
  </r>
  <r>
    <n v="131"/>
    <d v="2025-01-18T00:00:00"/>
    <s v="Jessica Walker"/>
    <s v="Laptop"/>
    <x v="4"/>
    <n v="10"/>
    <n v="223.82"/>
    <n v="2238.1999999999998"/>
    <n v="223.82"/>
    <n v="2462.02"/>
  </r>
  <r>
    <n v="93"/>
    <d v="2024-07-06T00:00:00"/>
    <s v="Debra Padilla"/>
    <s v="Dining Table"/>
    <x v="0"/>
    <n v="10"/>
    <n v="221.86"/>
    <n v="2218.6"/>
    <n v="221.86"/>
    <n v="2440.46"/>
  </r>
  <r>
    <n v="236"/>
    <d v="2024-11-25T00:00:00"/>
    <s v="Kelly Gay"/>
    <s v="Vegetables"/>
    <x v="3"/>
    <n v="6"/>
    <n v="365.98"/>
    <n v="2195.88"/>
    <n v="219.59"/>
    <n v="2415.4699999999998"/>
  </r>
  <r>
    <n v="174"/>
    <d v="2024-10-22T00:00:00"/>
    <s v="Steven Harris"/>
    <s v="Dining Table"/>
    <x v="0"/>
    <n v="9"/>
    <n v="243.23"/>
    <n v="2189.0700000000002"/>
    <n v="218.91"/>
    <n v="2407.98"/>
  </r>
  <r>
    <n v="351"/>
    <d v="2024-07-27T00:00:00"/>
    <s v="Kenneth Steele"/>
    <s v="Lego Set"/>
    <x v="2"/>
    <n v="7"/>
    <n v="311.11"/>
    <n v="2177.77"/>
    <n v="217.78"/>
    <n v="2395.5500000000002"/>
  </r>
  <r>
    <n v="427"/>
    <d v="2024-08-21T00:00:00"/>
    <s v="Larry Kim"/>
    <s v="Sweater"/>
    <x v="1"/>
    <n v="6"/>
    <n v="362.71"/>
    <n v="2176.2600000000002"/>
    <n v="217.63"/>
    <n v="2393.89"/>
  </r>
  <r>
    <n v="217"/>
    <d v="2024-12-16T00:00:00"/>
    <s v="Chelsea Jackson"/>
    <s v="Action Figure"/>
    <x v="2"/>
    <n v="8"/>
    <n v="271.17"/>
    <n v="2169.36"/>
    <n v="216.94"/>
    <n v="2386.3000000000002"/>
  </r>
  <r>
    <n v="407"/>
    <d v="2024-04-03T00:00:00"/>
    <s v="Renee Morris"/>
    <s v="Laptop"/>
    <x v="4"/>
    <n v="8"/>
    <n v="269.61"/>
    <n v="2156.88"/>
    <n v="215.69"/>
    <n v="2372.5700000000002"/>
  </r>
  <r>
    <n v="395"/>
    <d v="2024-10-10T00:00:00"/>
    <s v="Mrs. Amber Lewis"/>
    <s v="Action Figure"/>
    <x v="2"/>
    <n v="6"/>
    <n v="356.17"/>
    <n v="2137.02"/>
    <n v="213.7"/>
    <n v="2350.7199999999998"/>
  </r>
  <r>
    <n v="465"/>
    <d v="2024-12-22T00:00:00"/>
    <s v="Jennifer Turner"/>
    <s v="T-Shirt"/>
    <x v="1"/>
    <n v="9"/>
    <n v="235.77"/>
    <n v="2121.9299999999998"/>
    <n v="212.19"/>
    <n v="2334.12"/>
  </r>
  <r>
    <n v="277"/>
    <d v="2024-06-11T00:00:00"/>
    <s v="April Carter"/>
    <s v="Board Game"/>
    <x v="2"/>
    <n v="7"/>
    <n v="301.23"/>
    <n v="2108.61"/>
    <n v="210.86"/>
    <n v="2319.4699999999998"/>
  </r>
  <r>
    <n v="123"/>
    <d v="2024-09-07T00:00:00"/>
    <s v="Danielle Zamora"/>
    <s v="Milk"/>
    <x v="3"/>
    <n v="5"/>
    <n v="420.8"/>
    <n v="2104"/>
    <n v="210.4"/>
    <n v="2314.4"/>
  </r>
  <r>
    <n v="175"/>
    <d v="2024-04-22T00:00:00"/>
    <s v="Ricky Carter"/>
    <s v="Lego Set"/>
    <x v="2"/>
    <n v="5"/>
    <n v="420.24"/>
    <n v="2101.1999999999998"/>
    <n v="210.12"/>
    <n v="2311.3200000000002"/>
  </r>
  <r>
    <n v="419"/>
    <d v="2024-04-10T00:00:00"/>
    <s v="Erica Peterson"/>
    <s v="Fruits"/>
    <x v="3"/>
    <n v="8"/>
    <n v="260.91000000000003"/>
    <n v="2087.2800000000002"/>
    <n v="208.73"/>
    <n v="2296.0100000000002"/>
  </r>
  <r>
    <n v="215"/>
    <d v="2024-07-15T00:00:00"/>
    <s v="Curtis Gardner"/>
    <s v="Jeans"/>
    <x v="1"/>
    <n v="8"/>
    <n v="259.02999999999997"/>
    <n v="2072.2399999999998"/>
    <n v="207.22"/>
    <n v="2279.46"/>
  </r>
  <r>
    <n v="432"/>
    <d v="2024-09-17T00:00:00"/>
    <s v="Jeremiah Lynch"/>
    <s v="Puzzle"/>
    <x v="2"/>
    <n v="8"/>
    <n v="252.26"/>
    <n v="2018.08"/>
    <n v="201.81"/>
    <n v="2219.89"/>
  </r>
  <r>
    <n v="392"/>
    <d v="2025-01-11T00:00:00"/>
    <s v="Luis Herrera"/>
    <s v="Desk"/>
    <x v="0"/>
    <n v="10"/>
    <n v="201.37"/>
    <n v="2013.7"/>
    <n v="201.37"/>
    <n v="2215.0700000000002"/>
  </r>
  <r>
    <n v="68"/>
    <d v="2024-03-03T00:00:00"/>
    <s v="Alexis Cunningham"/>
    <s v="Vegetables"/>
    <x v="3"/>
    <n v="9"/>
    <n v="223.12"/>
    <n v="2008.08"/>
    <n v="200.81"/>
    <n v="2208.89"/>
  </r>
  <r>
    <n v="186"/>
    <d v="2024-08-02T00:00:00"/>
    <s v="Omar Wilson"/>
    <s v="Fruits"/>
    <x v="3"/>
    <n v="4"/>
    <n v="489.34"/>
    <n v="1957.36"/>
    <n v="195.74"/>
    <n v="2153.1"/>
  </r>
  <r>
    <n v="155"/>
    <d v="2024-04-14T00:00:00"/>
    <s v="Michael Oneal"/>
    <s v="Milk"/>
    <x v="3"/>
    <n v="6"/>
    <n v="325.67"/>
    <n v="1954.02"/>
    <n v="195.4"/>
    <n v="2149.42"/>
  </r>
  <r>
    <n v="50"/>
    <d v="2024-05-10T00:00:00"/>
    <s v="Pamela Curtis"/>
    <s v="Puzzle"/>
    <x v="2"/>
    <n v="6"/>
    <n v="324.94"/>
    <n v="1949.64"/>
    <n v="194.96"/>
    <n v="2144.6"/>
  </r>
  <r>
    <n v="420"/>
    <d v="2025-01-17T00:00:00"/>
    <s v="Anthony Riley"/>
    <s v="Bookshelf"/>
    <x v="0"/>
    <n v="8"/>
    <n v="242.81"/>
    <n v="1942.48"/>
    <n v="194.25"/>
    <n v="2136.73"/>
  </r>
  <r>
    <n v="232"/>
    <d v="2024-06-13T00:00:00"/>
    <s v="David Sanchez"/>
    <s v="Headphones"/>
    <x v="4"/>
    <n v="10"/>
    <n v="193.39"/>
    <n v="1933.9"/>
    <n v="193.39"/>
    <n v="2127.29"/>
  </r>
  <r>
    <n v="443"/>
    <d v="2024-02-18T00:00:00"/>
    <s v="Pamela Terrell"/>
    <s v="T-Shirt"/>
    <x v="1"/>
    <n v="8"/>
    <n v="241.18"/>
    <n v="1929.44"/>
    <n v="192.94"/>
    <n v="2122.38"/>
  </r>
  <r>
    <n v="455"/>
    <d v="2025-01-08T00:00:00"/>
    <s v="Andrew Landry"/>
    <s v="Lego Set"/>
    <x v="2"/>
    <n v="6"/>
    <n v="321.39999999999998"/>
    <n v="1928.4"/>
    <n v="192.84"/>
    <n v="2121.2399999999998"/>
  </r>
  <r>
    <n v="354"/>
    <d v="2024-05-04T00:00:00"/>
    <s v="Emily Hodge"/>
    <s v="Eggs"/>
    <x v="3"/>
    <n v="4"/>
    <n v="478.33"/>
    <n v="1913.32"/>
    <n v="191.33"/>
    <n v="2104.65"/>
  </r>
  <r>
    <n v="239"/>
    <d v="2024-03-04T00:00:00"/>
    <s v="Danielle Kaufman DDS"/>
    <s v="Jeans"/>
    <x v="1"/>
    <n v="6"/>
    <n v="315.5"/>
    <n v="1893"/>
    <n v="189.3"/>
    <n v="2082.3000000000002"/>
  </r>
  <r>
    <n v="183"/>
    <d v="2024-04-01T00:00:00"/>
    <s v="Mr. Adam Johnson"/>
    <s v="Milk"/>
    <x v="3"/>
    <n v="4"/>
    <n v="466.56"/>
    <n v="1866.24"/>
    <n v="186.62"/>
    <n v="2052.86"/>
  </r>
  <r>
    <n v="373"/>
    <d v="2024-03-19T00:00:00"/>
    <s v="Paula Guzman"/>
    <s v="Bread"/>
    <x v="3"/>
    <n v="8"/>
    <n v="233.19"/>
    <n v="1865.52"/>
    <n v="186.55"/>
    <n v="2052.0700000000002"/>
  </r>
  <r>
    <n v="362"/>
    <d v="2024-03-24T00:00:00"/>
    <s v="Mr. John Leblanc"/>
    <s v="Action Figure"/>
    <x v="2"/>
    <n v="5"/>
    <n v="371.19"/>
    <n v="1855.95"/>
    <n v="185.6"/>
    <n v="2041.55"/>
  </r>
  <r>
    <n v="92"/>
    <d v="2024-11-30T00:00:00"/>
    <s v="Matthew Williams"/>
    <s v="Milk"/>
    <x v="3"/>
    <n v="4"/>
    <n v="463.95"/>
    <n v="1855.8"/>
    <n v="185.58"/>
    <n v="2041.38"/>
  </r>
  <r>
    <n v="463"/>
    <d v="2024-11-07T00:00:00"/>
    <s v="Michelle Herrera MD"/>
    <s v="Board Game"/>
    <x v="2"/>
    <n v="6"/>
    <n v="307.60000000000002"/>
    <n v="1845.6"/>
    <n v="184.56"/>
    <n v="2030.16"/>
  </r>
  <r>
    <n v="388"/>
    <d v="2024-12-09T00:00:00"/>
    <s v="Dana Rodriguez"/>
    <s v="Office Chair"/>
    <x v="0"/>
    <n v="6"/>
    <n v="306.36"/>
    <n v="1838.16"/>
    <n v="183.82"/>
    <n v="2021.98"/>
  </r>
  <r>
    <n v="134"/>
    <d v="2024-02-13T00:00:00"/>
    <s v="Shannon Taylor"/>
    <s v="Vegetables"/>
    <x v="3"/>
    <n v="7"/>
    <n v="261.76"/>
    <n v="1832.32"/>
    <n v="183.23"/>
    <n v="2015.55"/>
  </r>
  <r>
    <n v="276"/>
    <d v="2024-10-08T00:00:00"/>
    <s v="Sarah Pearson"/>
    <s v="Dining Table"/>
    <x v="0"/>
    <n v="6"/>
    <n v="300.76"/>
    <n v="1804.56"/>
    <n v="180.46"/>
    <n v="1985.02"/>
  </r>
  <r>
    <n v="6"/>
    <d v="2024-04-16T00:00:00"/>
    <s v="Dr. Cory Walton"/>
    <s v="Eggs"/>
    <x v="3"/>
    <n v="5"/>
    <n v="360.61"/>
    <n v="1803.05"/>
    <n v="180.31"/>
    <n v="1983.36"/>
  </r>
  <r>
    <n v="231"/>
    <d v="2024-11-25T00:00:00"/>
    <s v="Kimberly Mccann"/>
    <s v="Smartwatch"/>
    <x v="4"/>
    <n v="5"/>
    <n v="359.84"/>
    <n v="1799.2"/>
    <n v="179.92"/>
    <n v="1979.12"/>
  </r>
  <r>
    <n v="445"/>
    <d v="2024-04-20T00:00:00"/>
    <s v="Beth Brown"/>
    <s v="Lego Set"/>
    <x v="2"/>
    <n v="9"/>
    <n v="199.76"/>
    <n v="1797.84"/>
    <n v="179.78"/>
    <n v="1977.62"/>
  </r>
  <r>
    <n v="307"/>
    <d v="2024-07-05T00:00:00"/>
    <s v="Oscar Jones"/>
    <s v="Tablet"/>
    <x v="4"/>
    <n v="4"/>
    <n v="446.88"/>
    <n v="1787.52"/>
    <n v="178.75"/>
    <n v="1966.27"/>
  </r>
  <r>
    <n v="108"/>
    <d v="2024-02-08T00:00:00"/>
    <s v="Katelyn Shah"/>
    <s v="Fruits"/>
    <x v="3"/>
    <n v="4"/>
    <n v="446"/>
    <n v="1784"/>
    <n v="178.4"/>
    <n v="1962.4"/>
  </r>
  <r>
    <n v="115"/>
    <d v="2025-01-26T00:00:00"/>
    <s v="Kenneth Henry"/>
    <s v="Lego Set"/>
    <x v="2"/>
    <n v="7"/>
    <n v="254.67"/>
    <n v="1782.69"/>
    <n v="178.27"/>
    <n v="1960.96"/>
  </r>
  <r>
    <n v="396"/>
    <d v="2025-02-02T00:00:00"/>
    <s v="Nicole Evans"/>
    <s v="Jacket"/>
    <x v="1"/>
    <n v="10"/>
    <n v="177.67"/>
    <n v="1776.7"/>
    <n v="177.67"/>
    <n v="1954.37"/>
  </r>
  <r>
    <n v="295"/>
    <d v="2025-01-09T00:00:00"/>
    <s v="Michele Mercado"/>
    <s v="Eggs"/>
    <x v="3"/>
    <n v="10"/>
    <n v="175.45"/>
    <n v="1754.5"/>
    <n v="175.45"/>
    <n v="1929.95"/>
  </r>
  <r>
    <n v="488"/>
    <d v="2024-07-26T00:00:00"/>
    <s v="Marisa Roberts"/>
    <s v="Board Game"/>
    <x v="2"/>
    <n v="10"/>
    <n v="175.35"/>
    <n v="1753.5"/>
    <n v="175.35"/>
    <n v="1928.85"/>
  </r>
  <r>
    <n v="390"/>
    <d v="2024-08-04T00:00:00"/>
    <s v="Maria Flores"/>
    <s v="Desk"/>
    <x v="0"/>
    <n v="4"/>
    <n v="436.03"/>
    <n v="1744.12"/>
    <n v="174.41"/>
    <n v="1918.53"/>
  </r>
  <r>
    <n v="422"/>
    <d v="2024-10-27T00:00:00"/>
    <s v="Debra French"/>
    <s v="Dining Table"/>
    <x v="0"/>
    <n v="10"/>
    <n v="171.65"/>
    <n v="1716.5"/>
    <n v="171.65"/>
    <n v="1888.15"/>
  </r>
  <r>
    <n v="245"/>
    <d v="2024-11-07T00:00:00"/>
    <s v="Becky Schmitt"/>
    <s v="Puzzle"/>
    <x v="2"/>
    <n v="7"/>
    <n v="244.88"/>
    <n v="1714.16"/>
    <n v="171.42"/>
    <n v="1885.58"/>
  </r>
  <r>
    <n v="336"/>
    <d v="2024-09-21T00:00:00"/>
    <s v="Peter Copeland"/>
    <s v="Milk"/>
    <x v="3"/>
    <n v="5"/>
    <n v="341.72"/>
    <n v="1708.6"/>
    <n v="170.86"/>
    <n v="1879.46"/>
  </r>
  <r>
    <n v="324"/>
    <d v="2024-09-22T00:00:00"/>
    <s v="Michael Jones"/>
    <s v="Jeans"/>
    <x v="1"/>
    <n v="4"/>
    <n v="424.7"/>
    <n v="1698.8"/>
    <n v="169.88"/>
    <n v="1868.68"/>
  </r>
  <r>
    <n v="53"/>
    <d v="2024-12-01T00:00:00"/>
    <s v="Brett Morris"/>
    <s v="Office Chair"/>
    <x v="0"/>
    <n v="5"/>
    <n v="334.7"/>
    <n v="1673.5"/>
    <n v="167.35"/>
    <n v="1840.85"/>
  </r>
  <r>
    <n v="412"/>
    <d v="2024-11-24T00:00:00"/>
    <s v="Joseph Hartman"/>
    <s v="Sweater"/>
    <x v="1"/>
    <n v="6"/>
    <n v="278.58"/>
    <n v="1671.48"/>
    <n v="167.15"/>
    <n v="1838.63"/>
  </r>
  <r>
    <n v="244"/>
    <d v="2024-12-13T00:00:00"/>
    <s v="John Mendez"/>
    <s v="Desk"/>
    <x v="0"/>
    <n v="5"/>
    <n v="333.17"/>
    <n v="1665.85"/>
    <n v="166.59"/>
    <n v="1832.44"/>
  </r>
  <r>
    <n v="149"/>
    <d v="2024-02-26T00:00:00"/>
    <s v="John Miller"/>
    <s v="Smartphone"/>
    <x v="4"/>
    <n v="6"/>
    <n v="277.52999999999997"/>
    <n v="1665.18"/>
    <n v="166.52"/>
    <n v="1831.7"/>
  </r>
  <r>
    <n v="125"/>
    <d v="2024-07-01T00:00:00"/>
    <s v="Brett Bryan"/>
    <s v="Eggs"/>
    <x v="3"/>
    <n v="4"/>
    <n v="412.62"/>
    <n v="1650.48"/>
    <n v="165.05"/>
    <n v="1815.53"/>
  </r>
  <r>
    <n v="43"/>
    <d v="2024-07-11T00:00:00"/>
    <s v="Willie Gomez"/>
    <s v="Smartphone"/>
    <x v="4"/>
    <n v="6"/>
    <n v="274.91000000000003"/>
    <n v="1649.46"/>
    <n v="164.95"/>
    <n v="1814.41"/>
  </r>
  <r>
    <n v="163"/>
    <d v="2024-09-15T00:00:00"/>
    <s v="Donna Bryant"/>
    <s v="Bookshelf"/>
    <x v="0"/>
    <n v="9"/>
    <n v="182.96"/>
    <n v="1646.64"/>
    <n v="164.66"/>
    <n v="1811.3"/>
  </r>
  <r>
    <n v="472"/>
    <d v="2024-09-30T00:00:00"/>
    <s v="Douglas Ford"/>
    <s v="Office Chair"/>
    <x v="0"/>
    <n v="6"/>
    <n v="274.26"/>
    <n v="1645.56"/>
    <n v="164.56"/>
    <n v="1810.12"/>
  </r>
  <r>
    <n v="19"/>
    <d v="2024-09-29T00:00:00"/>
    <s v="Jeremy Bond"/>
    <s v="Sweater"/>
    <x v="1"/>
    <n v="4"/>
    <n v="407.97"/>
    <n v="1631.88"/>
    <n v="163.19"/>
    <n v="1795.07"/>
  </r>
  <r>
    <n v="321"/>
    <d v="2024-04-30T00:00:00"/>
    <s v="Benjamin Coleman"/>
    <s v="Smartphone"/>
    <x v="4"/>
    <n v="8"/>
    <n v="203.73"/>
    <n v="1629.84"/>
    <n v="162.97999999999999"/>
    <n v="1792.82"/>
  </r>
  <r>
    <n v="2"/>
    <d v="2024-10-12T00:00:00"/>
    <s v="Nicholas Lyons"/>
    <s v="Desk"/>
    <x v="0"/>
    <n v="8"/>
    <n v="201.16"/>
    <n v="1609.28"/>
    <n v="160.93"/>
    <n v="1770.21"/>
  </r>
  <r>
    <n v="197"/>
    <d v="2024-04-28T00:00:00"/>
    <s v="Nicholas Lane"/>
    <s v="Sweater"/>
    <x v="1"/>
    <n v="5"/>
    <n v="318.8"/>
    <n v="1594"/>
    <n v="159.4"/>
    <n v="1753.4"/>
  </r>
  <r>
    <n v="297"/>
    <d v="2024-08-22T00:00:00"/>
    <s v="Nicole Fitzgerald"/>
    <s v="T-Shirt"/>
    <x v="1"/>
    <n v="8"/>
    <n v="198.16"/>
    <n v="1585.28"/>
    <n v="158.53"/>
    <n v="1743.81"/>
  </r>
  <r>
    <n v="438"/>
    <d v="2024-06-07T00:00:00"/>
    <s v="Jennifer Frey"/>
    <s v="Sweater"/>
    <x v="1"/>
    <n v="7"/>
    <n v="224.65"/>
    <n v="1572.55"/>
    <n v="157.25"/>
    <n v="1729.8"/>
  </r>
  <r>
    <n v="194"/>
    <d v="2024-12-05T00:00:00"/>
    <s v="Hannah Mckenzie"/>
    <s v="Tablet"/>
    <x v="4"/>
    <n v="5"/>
    <n v="313.76"/>
    <n v="1568.8"/>
    <n v="156.88"/>
    <n v="1725.68"/>
  </r>
  <r>
    <n v="287"/>
    <d v="2024-09-30T00:00:00"/>
    <s v="Carrie Shaw"/>
    <s v="Doll"/>
    <x v="2"/>
    <n v="8"/>
    <n v="195.78"/>
    <n v="1566.24"/>
    <n v="156.62"/>
    <n v="1722.86"/>
  </r>
  <r>
    <n v="69"/>
    <d v="2024-11-08T00:00:00"/>
    <s v="James Jones"/>
    <s v="Sweater"/>
    <x v="1"/>
    <n v="4"/>
    <n v="390.6"/>
    <n v="1562.4"/>
    <n v="156.24"/>
    <n v="1718.64"/>
  </r>
  <r>
    <n v="187"/>
    <d v="2025-01-13T00:00:00"/>
    <s v="Laura French"/>
    <s v="Sofa"/>
    <x v="0"/>
    <n v="5"/>
    <n v="311.64"/>
    <n v="1558.2"/>
    <n v="155.82"/>
    <n v="1714.02"/>
  </r>
  <r>
    <n v="380"/>
    <d v="2024-09-14T00:00:00"/>
    <s v="Nicole Taylor"/>
    <s v="Milk"/>
    <x v="3"/>
    <n v="5"/>
    <n v="306.92"/>
    <n v="1534.6"/>
    <n v="153.46"/>
    <n v="1688.06"/>
  </r>
  <r>
    <n v="496"/>
    <d v="2024-05-11T00:00:00"/>
    <s v="Heather Hernandez"/>
    <s v="Tablet"/>
    <x v="4"/>
    <n v="9"/>
    <n v="169.65"/>
    <n v="1526.85"/>
    <n v="152.69"/>
    <n v="1679.54"/>
  </r>
  <r>
    <n v="178"/>
    <d v="2024-02-22T00:00:00"/>
    <s v="Eric Ochoa"/>
    <s v="Headphones"/>
    <x v="4"/>
    <n v="6"/>
    <n v="253.8"/>
    <n v="1522.8"/>
    <n v="152.28"/>
    <n v="1675.08"/>
  </r>
  <r>
    <n v="308"/>
    <d v="2024-03-05T00:00:00"/>
    <s v="Matthew Ferguson"/>
    <s v="Bread"/>
    <x v="3"/>
    <n v="7"/>
    <n v="217.01"/>
    <n v="1519.07"/>
    <n v="151.91"/>
    <n v="1670.98"/>
  </r>
  <r>
    <n v="355"/>
    <d v="2025-01-12T00:00:00"/>
    <s v="Jeremy Potts"/>
    <s v="Action Figure"/>
    <x v="2"/>
    <n v="4"/>
    <n v="378.1"/>
    <n v="1512.4"/>
    <n v="151.24"/>
    <n v="1663.64"/>
  </r>
  <r>
    <n v="74"/>
    <d v="2025-01-06T00:00:00"/>
    <s v="Amber Jenkins"/>
    <s v="Laptop"/>
    <x v="4"/>
    <n v="4"/>
    <n v="373.73"/>
    <n v="1494.92"/>
    <n v="149.49"/>
    <n v="1644.41"/>
  </r>
  <r>
    <n v="425"/>
    <d v="2024-11-14T00:00:00"/>
    <s v="Angela Cook"/>
    <s v="Fruits"/>
    <x v="3"/>
    <n v="9"/>
    <n v="165.59"/>
    <n v="1490.31"/>
    <n v="149.03"/>
    <n v="1639.34"/>
  </r>
  <r>
    <n v="63"/>
    <d v="2024-12-16T00:00:00"/>
    <s v="Jason Chaney"/>
    <s v="Milk"/>
    <x v="3"/>
    <n v="4"/>
    <n v="371.8"/>
    <n v="1487.2"/>
    <n v="148.72"/>
    <n v="1635.92"/>
  </r>
  <r>
    <n v="334"/>
    <d v="2024-04-17T00:00:00"/>
    <s v="Michelle Ramos"/>
    <s v="Bread"/>
    <x v="3"/>
    <n v="3"/>
    <n v="495.66"/>
    <n v="1486.98"/>
    <n v="148.69999999999999"/>
    <n v="1635.68"/>
  </r>
  <r>
    <n v="107"/>
    <d v="2024-11-07T00:00:00"/>
    <s v="Linda Smith"/>
    <s v="Lego Set"/>
    <x v="2"/>
    <n v="4"/>
    <n v="371.7"/>
    <n v="1486.8"/>
    <n v="148.68"/>
    <n v="1635.48"/>
  </r>
  <r>
    <n v="493"/>
    <d v="2024-06-03T00:00:00"/>
    <s v="Daisy Miller"/>
    <s v="Smartwatch"/>
    <x v="4"/>
    <n v="3"/>
    <n v="493.82"/>
    <n v="1481.46"/>
    <n v="148.15"/>
    <n v="1629.61"/>
  </r>
  <r>
    <n v="67"/>
    <d v="2024-12-13T00:00:00"/>
    <s v="Melissa Gilbert"/>
    <s v="Shoes"/>
    <x v="1"/>
    <n v="3"/>
    <n v="491.57"/>
    <n v="1474.71"/>
    <n v="147.47"/>
    <n v="1622.18"/>
  </r>
  <r>
    <n v="86"/>
    <d v="2024-04-15T00:00:00"/>
    <s v="Joe Patton"/>
    <s v="Laptop"/>
    <x v="4"/>
    <n v="10"/>
    <n v="147.09"/>
    <n v="1470.9"/>
    <n v="147.09"/>
    <n v="1617.99"/>
  </r>
  <r>
    <n v="403"/>
    <d v="2024-04-29T00:00:00"/>
    <s v="Miss Marissa Lopez DDS"/>
    <s v="Dining Table"/>
    <x v="0"/>
    <n v="8"/>
    <n v="183.52"/>
    <n v="1468.16"/>
    <n v="146.82"/>
    <n v="1614.98"/>
  </r>
  <r>
    <n v="418"/>
    <d v="2024-09-01T00:00:00"/>
    <s v="David Day"/>
    <s v="Laptop"/>
    <x v="4"/>
    <n v="8"/>
    <n v="183.43"/>
    <n v="1467.44"/>
    <n v="146.74"/>
    <n v="1614.18"/>
  </r>
  <r>
    <n v="59"/>
    <d v="2024-08-30T00:00:00"/>
    <s v="Autumn Vazquez"/>
    <s v="Puzzle"/>
    <x v="2"/>
    <n v="3"/>
    <n v="489.08"/>
    <n v="1467.24"/>
    <n v="146.72"/>
    <n v="1613.96"/>
  </r>
  <r>
    <n v="113"/>
    <d v="2024-09-23T00:00:00"/>
    <s v="Joshua Kim"/>
    <s v="Doll"/>
    <x v="2"/>
    <n v="8"/>
    <n v="182.9"/>
    <n v="1463.2"/>
    <n v="146.32"/>
    <n v="1609.52"/>
  </r>
  <r>
    <n v="61"/>
    <d v="2024-02-05T00:00:00"/>
    <s v="Whitney Huffman"/>
    <s v="Headphones"/>
    <x v="4"/>
    <n v="3"/>
    <n v="486.87"/>
    <n v="1460.61"/>
    <n v="146.06"/>
    <n v="1606.67"/>
  </r>
  <r>
    <n v="23"/>
    <d v="2024-12-20T00:00:00"/>
    <s v="John Zimmerman"/>
    <s v="Tablet"/>
    <x v="4"/>
    <n v="5"/>
    <n v="291.79000000000002"/>
    <n v="1458.95"/>
    <n v="145.9"/>
    <n v="1604.85"/>
  </r>
  <r>
    <n v="379"/>
    <d v="2024-07-09T00:00:00"/>
    <s v="Gregory Watkins"/>
    <s v="Smartwatch"/>
    <x v="4"/>
    <n v="3"/>
    <n v="485.81"/>
    <n v="1457.43"/>
    <n v="145.74"/>
    <n v="1603.17"/>
  </r>
  <r>
    <n v="381"/>
    <d v="2024-06-30T00:00:00"/>
    <s v="Andrea Williams"/>
    <s v="Fruits"/>
    <x v="3"/>
    <n v="10"/>
    <n v="142.6"/>
    <n v="1426"/>
    <n v="142.6"/>
    <n v="1568.6"/>
  </r>
  <r>
    <n v="469"/>
    <d v="2024-05-27T00:00:00"/>
    <s v="Angela Perez"/>
    <s v="Eggs"/>
    <x v="3"/>
    <n v="5"/>
    <n v="284.98"/>
    <n v="1424.9"/>
    <n v="142.49"/>
    <n v="1567.39"/>
  </r>
  <r>
    <n v="5"/>
    <d v="2024-08-30T00:00:00"/>
    <s v="Nancy Payne"/>
    <s v="Sofa"/>
    <x v="0"/>
    <n v="10"/>
    <n v="142.02000000000001"/>
    <n v="1420.2"/>
    <n v="142.02000000000001"/>
    <n v="1562.22"/>
  </r>
  <r>
    <n v="294"/>
    <d v="2024-10-04T00:00:00"/>
    <s v="Robert Galvan"/>
    <s v="Laptop"/>
    <x v="4"/>
    <n v="10"/>
    <n v="141.63"/>
    <n v="1416.3"/>
    <n v="141.63"/>
    <n v="1557.93"/>
  </r>
  <r>
    <n v="441"/>
    <d v="2024-04-01T00:00:00"/>
    <s v="Tracy Adams"/>
    <s v="Vegetables"/>
    <x v="3"/>
    <n v="8"/>
    <n v="176.71"/>
    <n v="1413.68"/>
    <n v="141.37"/>
    <n v="1555.05"/>
  </r>
  <r>
    <n v="49"/>
    <d v="2024-12-20T00:00:00"/>
    <s v="Jorge Rivera"/>
    <s v="Jeans"/>
    <x v="1"/>
    <n v="3"/>
    <n v="469.96"/>
    <n v="1409.88"/>
    <n v="140.99"/>
    <n v="1550.87"/>
  </r>
  <r>
    <n v="152"/>
    <d v="2024-03-02T00:00:00"/>
    <s v="Tyler Cherry"/>
    <s v="Laptop"/>
    <x v="4"/>
    <n v="5"/>
    <n v="281.61"/>
    <n v="1408.05"/>
    <n v="140.81"/>
    <n v="1548.86"/>
  </r>
  <r>
    <n v="317"/>
    <d v="2024-10-22T00:00:00"/>
    <s v="Seth Miller"/>
    <s v="T-Shirt"/>
    <x v="1"/>
    <n v="5"/>
    <n v="279.12"/>
    <n v="1395.6"/>
    <n v="139.56"/>
    <n v="1535.16"/>
  </r>
  <r>
    <n v="47"/>
    <d v="2024-03-01T00:00:00"/>
    <s v="Kelsey Waters"/>
    <s v="Laptop"/>
    <x v="4"/>
    <n v="4"/>
    <n v="347.57"/>
    <n v="1390.28"/>
    <n v="139.03"/>
    <n v="1529.31"/>
  </r>
  <r>
    <n v="360"/>
    <d v="2024-02-09T00:00:00"/>
    <s v="Emily Mcdonald"/>
    <s v="Dining Table"/>
    <x v="0"/>
    <n v="3"/>
    <n v="460.34"/>
    <n v="1381.02"/>
    <n v="138.1"/>
    <n v="1519.12"/>
  </r>
  <r>
    <n v="44"/>
    <d v="2024-02-20T00:00:00"/>
    <s v="Brenda Miranda"/>
    <s v="Sweater"/>
    <x v="1"/>
    <n v="4"/>
    <n v="342.96"/>
    <n v="1371.84"/>
    <n v="137.18"/>
    <n v="1509.02"/>
  </r>
  <r>
    <n v="169"/>
    <d v="2024-05-27T00:00:00"/>
    <s v="Peter Rogers"/>
    <s v="Puzzle"/>
    <x v="2"/>
    <n v="3"/>
    <n v="453.86"/>
    <n v="1361.58"/>
    <n v="136.16"/>
    <n v="1497.74"/>
  </r>
  <r>
    <n v="413"/>
    <d v="2024-07-06T00:00:00"/>
    <s v="Brittany Campbell"/>
    <s v="Tablet"/>
    <x v="4"/>
    <n v="5"/>
    <n v="271.94"/>
    <n v="1359.7"/>
    <n v="135.97"/>
    <n v="1495.67"/>
  </r>
  <r>
    <n v="37"/>
    <d v="2024-11-10T00:00:00"/>
    <s v="Christine Blanchard"/>
    <s v="Headphones"/>
    <x v="4"/>
    <n v="7"/>
    <n v="193.93"/>
    <n v="1357.51"/>
    <n v="135.75"/>
    <n v="1493.26"/>
  </r>
  <r>
    <n v="25"/>
    <d v="2024-11-11T00:00:00"/>
    <s v="Kathy Brown"/>
    <s v="Jeans"/>
    <x v="1"/>
    <n v="5"/>
    <n v="271.37"/>
    <n v="1356.85"/>
    <n v="135.69"/>
    <n v="1492.54"/>
  </r>
  <r>
    <n v="27"/>
    <d v="2024-04-22T00:00:00"/>
    <s v="Veronica Taylor"/>
    <s v="Puzzle"/>
    <x v="2"/>
    <n v="3"/>
    <n v="448.18"/>
    <n v="1344.54"/>
    <n v="134.44999999999999"/>
    <n v="1478.99"/>
  </r>
  <r>
    <n v="298"/>
    <d v="2024-07-24T00:00:00"/>
    <s v="Rachel Bauer"/>
    <s v="Action Figure"/>
    <x v="2"/>
    <n v="7"/>
    <n v="189.04"/>
    <n v="1323.28"/>
    <n v="132.33000000000001"/>
    <n v="1455.61"/>
  </r>
  <r>
    <n v="446"/>
    <d v="2024-04-13T00:00:00"/>
    <s v="Jeremiah Henderson"/>
    <s v="Smartphone"/>
    <x v="4"/>
    <n v="3"/>
    <n v="437.7"/>
    <n v="1313.1"/>
    <n v="131.31"/>
    <n v="1444.41"/>
  </r>
  <r>
    <n v="56"/>
    <d v="2024-11-10T00:00:00"/>
    <s v="Thomas Douglas"/>
    <s v="Eggs"/>
    <x v="3"/>
    <n v="4"/>
    <n v="327.93"/>
    <n v="1311.72"/>
    <n v="131.16999999999999"/>
    <n v="1442.89"/>
  </r>
  <r>
    <n v="476"/>
    <d v="2025-01-25T00:00:00"/>
    <s v="Stephen Santos"/>
    <s v="Vegetables"/>
    <x v="3"/>
    <n v="5"/>
    <n v="261.07"/>
    <n v="1305.3499999999999"/>
    <n v="130.53"/>
    <n v="1435.88"/>
  </r>
  <r>
    <n v="411"/>
    <d v="2024-07-27T00:00:00"/>
    <s v="Laura Phillips"/>
    <s v="Headphones"/>
    <x v="4"/>
    <n v="9"/>
    <n v="144.44"/>
    <n v="1299.96"/>
    <n v="130"/>
    <n v="1429.96"/>
  </r>
  <r>
    <n v="150"/>
    <d v="2024-10-09T00:00:00"/>
    <s v="James Fuller"/>
    <s v="Desk"/>
    <x v="0"/>
    <n v="8"/>
    <n v="162.47"/>
    <n v="1299.76"/>
    <n v="129.97999999999999"/>
    <n v="1429.74"/>
  </r>
  <r>
    <n v="327"/>
    <d v="2024-08-14T00:00:00"/>
    <s v="Amanda Reese"/>
    <s v="Smartwatch"/>
    <x v="4"/>
    <n v="6"/>
    <n v="215.26"/>
    <n v="1291.56"/>
    <n v="129.16"/>
    <n v="1420.72"/>
  </r>
  <r>
    <n v="166"/>
    <d v="2024-07-11T00:00:00"/>
    <s v="Lisa Williams"/>
    <s v="Doll"/>
    <x v="2"/>
    <n v="8"/>
    <n v="160.79"/>
    <n v="1286.32"/>
    <n v="128.63"/>
    <n v="1414.95"/>
  </r>
  <r>
    <n v="140"/>
    <d v="2024-03-10T00:00:00"/>
    <s v="Sharon Smith"/>
    <s v="Action Figure"/>
    <x v="2"/>
    <n v="7"/>
    <n v="183.26"/>
    <n v="1282.82"/>
    <n v="128.28"/>
    <n v="1411.1"/>
  </r>
  <r>
    <n v="452"/>
    <d v="2024-08-20T00:00:00"/>
    <s v="Susan Beard"/>
    <s v="Jeans"/>
    <x v="1"/>
    <n v="3"/>
    <n v="425.97"/>
    <n v="1277.9100000000001"/>
    <n v="127.79"/>
    <n v="1405.7"/>
  </r>
  <r>
    <n v="196"/>
    <d v="2024-10-07T00:00:00"/>
    <s v="Brenda Valdez"/>
    <s v="Smartwatch"/>
    <x v="4"/>
    <n v="10"/>
    <n v="127.72"/>
    <n v="1277.2"/>
    <n v="127.72"/>
    <n v="1404.92"/>
  </r>
  <r>
    <n v="99"/>
    <d v="2024-11-14T00:00:00"/>
    <s v="Michael Horton"/>
    <s v="Fruits"/>
    <x v="3"/>
    <n v="3"/>
    <n v="425.34"/>
    <n v="1276.02"/>
    <n v="127.6"/>
    <n v="1403.62"/>
  </r>
  <r>
    <n v="198"/>
    <d v="2024-04-29T00:00:00"/>
    <s v="Catherine Schultz"/>
    <s v="Shoes"/>
    <x v="1"/>
    <n v="3"/>
    <n v="423.67"/>
    <n v="1271.01"/>
    <n v="127.1"/>
    <n v="1398.11"/>
  </r>
  <r>
    <n v="273"/>
    <d v="2024-10-12T00:00:00"/>
    <s v="Tina Baker"/>
    <s v="Jacket"/>
    <x v="1"/>
    <n v="5"/>
    <n v="253.34"/>
    <n v="1266.7"/>
    <n v="126.67"/>
    <n v="1393.37"/>
  </r>
  <r>
    <n v="136"/>
    <d v="2024-08-31T00:00:00"/>
    <s v="Morgan Green"/>
    <s v="Tablet"/>
    <x v="4"/>
    <n v="4"/>
    <n v="314.5"/>
    <n v="1258"/>
    <n v="125.8"/>
    <n v="1383.8"/>
  </r>
  <r>
    <n v="158"/>
    <d v="2024-12-13T00:00:00"/>
    <s v="Elizabeth Gardner"/>
    <s v="Eggs"/>
    <x v="3"/>
    <n v="5"/>
    <n v="250.04"/>
    <n v="1250.2"/>
    <n v="125.02"/>
    <n v="1375.22"/>
  </r>
  <r>
    <n v="229"/>
    <d v="2024-05-02T00:00:00"/>
    <s v="Mary Brown"/>
    <s v="Shoes"/>
    <x v="1"/>
    <n v="4"/>
    <n v="309.01"/>
    <n v="1236.04"/>
    <n v="123.6"/>
    <n v="1359.64"/>
  </r>
  <r>
    <n v="225"/>
    <d v="2024-05-25T00:00:00"/>
    <s v="Chloe Malone"/>
    <s v="Puzzle"/>
    <x v="2"/>
    <n v="7"/>
    <n v="169.77"/>
    <n v="1188.3900000000001"/>
    <n v="118.84"/>
    <n v="1307.23"/>
  </r>
  <r>
    <n v="281"/>
    <d v="2024-09-15T00:00:00"/>
    <s v="Gary Clark"/>
    <s v="Jeans"/>
    <x v="1"/>
    <n v="5"/>
    <n v="237.67"/>
    <n v="1188.3499999999999"/>
    <n v="118.83"/>
    <n v="1307.18"/>
  </r>
  <r>
    <n v="89"/>
    <d v="2024-03-22T00:00:00"/>
    <s v="Crystal Stewart"/>
    <s v="Desk"/>
    <x v="0"/>
    <n v="10"/>
    <n v="118.58"/>
    <n v="1185.8"/>
    <n v="118.58"/>
    <n v="1304.3800000000001"/>
  </r>
  <r>
    <n v="36"/>
    <d v="2024-07-15T00:00:00"/>
    <s v="Karen Cooper"/>
    <s v="Doll"/>
    <x v="2"/>
    <n v="3"/>
    <n v="389.89"/>
    <n v="1169.67"/>
    <n v="116.97"/>
    <n v="1286.6400000000001"/>
  </r>
  <r>
    <n v="119"/>
    <d v="2024-12-25T00:00:00"/>
    <s v="Melissa Price"/>
    <s v="Sofa"/>
    <x v="0"/>
    <n v="5"/>
    <n v="233.47"/>
    <n v="1167.3499999999999"/>
    <n v="116.73"/>
    <n v="1284.08"/>
  </r>
  <r>
    <n v="421"/>
    <d v="2024-05-29T00:00:00"/>
    <s v="Brittany Castro"/>
    <s v="Office Chair"/>
    <x v="0"/>
    <n v="4"/>
    <n v="287.52"/>
    <n v="1150.08"/>
    <n v="115.01"/>
    <n v="1265.0899999999999"/>
  </r>
  <r>
    <n v="437"/>
    <d v="2024-04-20T00:00:00"/>
    <s v="Amy Wall"/>
    <s v="Smartwatch"/>
    <x v="4"/>
    <n v="7"/>
    <n v="164.13"/>
    <n v="1148.9100000000001"/>
    <n v="114.89"/>
    <n v="1263.8"/>
  </r>
  <r>
    <n v="210"/>
    <d v="2025-01-15T00:00:00"/>
    <s v="Joanna Jones"/>
    <s v="Jacket"/>
    <x v="1"/>
    <n v="10"/>
    <n v="114.84"/>
    <n v="1148.4000000000001"/>
    <n v="114.84"/>
    <n v="1263.24"/>
  </r>
  <r>
    <n v="154"/>
    <d v="2024-05-10T00:00:00"/>
    <s v="Jason Smith"/>
    <s v="Laptop"/>
    <x v="4"/>
    <n v="5"/>
    <n v="229.22"/>
    <n v="1146.0999999999999"/>
    <n v="114.61"/>
    <n v="1260.71"/>
  </r>
  <r>
    <n v="453"/>
    <d v="2024-03-09T00:00:00"/>
    <s v="Tyler Richard"/>
    <s v="Office Chair"/>
    <x v="0"/>
    <n v="3"/>
    <n v="381.48"/>
    <n v="1144.44"/>
    <n v="114.44"/>
    <n v="1258.8800000000001"/>
  </r>
  <r>
    <n v="498"/>
    <d v="2024-08-31T00:00:00"/>
    <s v="Jason Barber"/>
    <s v="Bookshelf"/>
    <x v="0"/>
    <n v="5"/>
    <n v="227.36"/>
    <n v="1136.8"/>
    <n v="113.68"/>
    <n v="1250.48"/>
  </r>
  <r>
    <n v="24"/>
    <d v="2024-03-13T00:00:00"/>
    <s v="Lisa Wilson"/>
    <s v="Jeans"/>
    <x v="1"/>
    <n v="9"/>
    <n v="125.03"/>
    <n v="1125.27"/>
    <n v="112.53"/>
    <n v="1237.8"/>
  </r>
  <r>
    <n v="91"/>
    <d v="2024-05-16T00:00:00"/>
    <s v="Joseph Harmon"/>
    <s v="Vegetables"/>
    <x v="3"/>
    <n v="4"/>
    <n v="280.52"/>
    <n v="1122.08"/>
    <n v="112.21"/>
    <n v="1234.29"/>
  </r>
  <r>
    <n v="176"/>
    <d v="2024-03-27T00:00:00"/>
    <s v="Jasmine Burke"/>
    <s v="Bookshelf"/>
    <x v="0"/>
    <n v="4"/>
    <n v="279.19"/>
    <n v="1116.76"/>
    <n v="111.68"/>
    <n v="1228.44"/>
  </r>
  <r>
    <n v="288"/>
    <d v="2024-09-18T00:00:00"/>
    <s v="Scott Case DDS"/>
    <s v="Vegetables"/>
    <x v="3"/>
    <n v="4"/>
    <n v="277.18"/>
    <n v="1108.72"/>
    <n v="110.87"/>
    <n v="1219.5899999999999"/>
  </r>
  <r>
    <n v="320"/>
    <d v="2024-02-07T00:00:00"/>
    <s v="Maria Frost"/>
    <s v="Smartphone"/>
    <x v="4"/>
    <n v="3"/>
    <n v="369.51"/>
    <n v="1108.53"/>
    <n v="110.85"/>
    <n v="1219.3800000000001"/>
  </r>
  <r>
    <n v="464"/>
    <d v="2024-08-14T00:00:00"/>
    <s v="Laura Quinn"/>
    <s v="Laptop"/>
    <x v="4"/>
    <n v="8"/>
    <n v="137.37"/>
    <n v="1098.96"/>
    <n v="109.9"/>
    <n v="1208.8599999999999"/>
  </r>
  <r>
    <n v="257"/>
    <d v="2024-12-29T00:00:00"/>
    <s v="Benjamin Bailey"/>
    <s v="Jacket"/>
    <x v="1"/>
    <n v="3"/>
    <n v="363.04"/>
    <n v="1089.1199999999999"/>
    <n v="108.91"/>
    <n v="1198.03"/>
  </r>
  <r>
    <n v="402"/>
    <d v="2025-01-25T00:00:00"/>
    <s v="Patricia Underwood"/>
    <s v="Tablet"/>
    <x v="4"/>
    <n v="3"/>
    <n v="362.15"/>
    <n v="1086.45"/>
    <n v="108.65"/>
    <n v="1195.0999999999999"/>
  </r>
  <r>
    <n v="179"/>
    <d v="2024-08-08T00:00:00"/>
    <s v="Jacob Rivera"/>
    <s v="Milk"/>
    <x v="3"/>
    <n v="7"/>
    <n v="154.36000000000001"/>
    <n v="1080.52"/>
    <n v="108.05"/>
    <n v="1188.57"/>
  </r>
  <r>
    <n v="220"/>
    <d v="2024-10-24T00:00:00"/>
    <s v="Lawrence Butler"/>
    <s v="Lego Set"/>
    <x v="2"/>
    <n v="3"/>
    <n v="357.24"/>
    <n v="1071.72"/>
    <n v="107.17"/>
    <n v="1178.8900000000001"/>
  </r>
  <r>
    <n v="28"/>
    <d v="2024-06-30T00:00:00"/>
    <s v="Wendy Duarte"/>
    <s v="Sweater"/>
    <x v="1"/>
    <n v="5"/>
    <n v="214.12"/>
    <n v="1070.5999999999999"/>
    <n v="107.06"/>
    <n v="1177.6600000000001"/>
  </r>
  <r>
    <n v="440"/>
    <d v="2024-02-26T00:00:00"/>
    <s v="Maria Ramirez"/>
    <s v="Fruits"/>
    <x v="3"/>
    <n v="5"/>
    <n v="213.26"/>
    <n v="1066.3"/>
    <n v="106.63"/>
    <n v="1172.93"/>
  </r>
  <r>
    <n v="357"/>
    <d v="2024-10-05T00:00:00"/>
    <s v="Dawn Mitchell"/>
    <s v="Smartwatch"/>
    <x v="4"/>
    <n v="3"/>
    <n v="353.2"/>
    <n v="1059.5999999999999"/>
    <n v="105.96"/>
    <n v="1165.56"/>
  </r>
  <r>
    <n v="81"/>
    <d v="2024-07-22T00:00:00"/>
    <s v="William Smith"/>
    <s v="Bread"/>
    <x v="3"/>
    <n v="10"/>
    <n v="105.54"/>
    <n v="1055.4000000000001"/>
    <n v="105.54"/>
    <n v="1160.94"/>
  </r>
  <r>
    <n v="240"/>
    <d v="2024-07-01T00:00:00"/>
    <s v="Derek Vargas"/>
    <s v="Headphones"/>
    <x v="4"/>
    <n v="10"/>
    <n v="105.25"/>
    <n v="1052.5"/>
    <n v="105.25"/>
    <n v="1157.75"/>
  </r>
  <r>
    <n v="423"/>
    <d v="2024-11-03T00:00:00"/>
    <s v="Frank Carson"/>
    <s v="Smartwatch"/>
    <x v="4"/>
    <n v="5"/>
    <n v="209.9"/>
    <n v="1049.5"/>
    <n v="104.95"/>
    <n v="1154.45"/>
  </r>
  <r>
    <n v="39"/>
    <d v="2024-08-25T00:00:00"/>
    <s v="Gina Knight"/>
    <s v="Tablet"/>
    <x v="4"/>
    <n v="5"/>
    <n v="206.83"/>
    <n v="1034.1500000000001"/>
    <n v="103.42"/>
    <n v="1137.57"/>
  </r>
  <r>
    <n v="342"/>
    <d v="2024-05-02T00:00:00"/>
    <s v="Karen Fields"/>
    <s v="Action Figure"/>
    <x v="2"/>
    <n v="7"/>
    <n v="147.37"/>
    <n v="1031.5899999999999"/>
    <n v="103.16"/>
    <n v="1134.75"/>
  </r>
  <r>
    <n v="38"/>
    <d v="2024-10-21T00:00:00"/>
    <s v="Mrs. Amanda Davis"/>
    <s v="Headphones"/>
    <x v="4"/>
    <n v="3"/>
    <n v="342.52"/>
    <n v="1027.56"/>
    <n v="102.76"/>
    <n v="1130.32"/>
  </r>
  <r>
    <n v="374"/>
    <d v="2024-04-14T00:00:00"/>
    <s v="Tina Wood"/>
    <s v="Eggs"/>
    <x v="3"/>
    <n v="4"/>
    <n v="255.78"/>
    <n v="1023.12"/>
    <n v="102.31"/>
    <n v="1125.43"/>
  </r>
  <r>
    <n v="213"/>
    <d v="2024-07-21T00:00:00"/>
    <s v="Cheryl Smith"/>
    <s v="Dining Table"/>
    <x v="0"/>
    <n v="6"/>
    <n v="167.78"/>
    <n v="1006.68"/>
    <n v="100.67"/>
    <n v="1107.3499999999999"/>
  </r>
  <r>
    <n v="479"/>
    <d v="2024-07-06T00:00:00"/>
    <s v="Adam Chen"/>
    <s v="Board Game"/>
    <x v="2"/>
    <n v="6"/>
    <n v="167.12"/>
    <n v="1002.72"/>
    <n v="100.27"/>
    <n v="1102.99"/>
  </r>
  <r>
    <n v="16"/>
    <d v="2024-02-21T00:00:00"/>
    <s v="Brian Anderson"/>
    <s v="Jacket"/>
    <x v="1"/>
    <n v="8"/>
    <n v="125.26"/>
    <n v="1002.08"/>
    <n v="100.21"/>
    <n v="1102.29"/>
  </r>
  <r>
    <n v="369"/>
    <d v="2025-01-30T00:00:00"/>
    <s v="Dawn Jones"/>
    <s v="Action Figure"/>
    <x v="2"/>
    <n v="3"/>
    <n v="331.86"/>
    <n v="995.58"/>
    <n v="99.56"/>
    <n v="1095.1400000000001"/>
  </r>
  <r>
    <n v="325"/>
    <d v="2024-10-30T00:00:00"/>
    <s v="David King"/>
    <s v="Sweater"/>
    <x v="1"/>
    <n v="3"/>
    <n v="331.27"/>
    <n v="993.81"/>
    <n v="99.38"/>
    <n v="1093.19"/>
  </r>
  <r>
    <n v="447"/>
    <d v="2024-03-18T00:00:00"/>
    <s v="Amy Glenn"/>
    <s v="Puzzle"/>
    <x v="2"/>
    <n v="3"/>
    <n v="330.82"/>
    <n v="992.46"/>
    <n v="99.25"/>
    <n v="1091.71"/>
  </r>
  <r>
    <n v="121"/>
    <d v="2024-12-18T00:00:00"/>
    <s v="Mike Kim"/>
    <s v="Bread"/>
    <x v="3"/>
    <n v="6"/>
    <n v="164.74"/>
    <n v="988.44"/>
    <n v="98.84"/>
    <n v="1087.28"/>
  </r>
  <r>
    <n v="18"/>
    <d v="2024-09-25T00:00:00"/>
    <s v="Daniel Fletcher"/>
    <s v="Desk"/>
    <x v="0"/>
    <n v="8"/>
    <n v="122.44"/>
    <n v="979.52"/>
    <n v="97.95"/>
    <n v="1077.47"/>
  </r>
  <r>
    <n v="130"/>
    <d v="2024-12-27T00:00:00"/>
    <s v="Joshua Moss"/>
    <s v="Eggs"/>
    <x v="3"/>
    <n v="2"/>
    <n v="483.98"/>
    <n v="967.96"/>
    <n v="96.8"/>
    <n v="1064.76"/>
  </r>
  <r>
    <n v="255"/>
    <d v="2024-11-01T00:00:00"/>
    <s v="Jessica Cervantes"/>
    <s v="Action Figure"/>
    <x v="2"/>
    <n v="6"/>
    <n v="161.19"/>
    <n v="967.14"/>
    <n v="96.71"/>
    <n v="1063.8499999999999"/>
  </r>
  <r>
    <n v="433"/>
    <d v="2024-02-07T00:00:00"/>
    <s v="Alisha Vasquez"/>
    <s v="Fruits"/>
    <x v="3"/>
    <n v="2"/>
    <n v="482.95"/>
    <n v="965.9"/>
    <n v="96.59"/>
    <n v="1062.49"/>
  </r>
  <r>
    <n v="370"/>
    <d v="2024-07-11T00:00:00"/>
    <s v="Samantha Williams"/>
    <s v="Jacket"/>
    <x v="1"/>
    <n v="8"/>
    <n v="117.82"/>
    <n v="942.56"/>
    <n v="94.26"/>
    <n v="1036.82"/>
  </r>
  <r>
    <n v="209"/>
    <d v="2025-01-20T00:00:00"/>
    <s v="Robert Burgess"/>
    <s v="T-Shirt"/>
    <x v="1"/>
    <n v="9"/>
    <n v="104.48"/>
    <n v="940.32"/>
    <n v="94.03"/>
    <n v="1034.3499999999999"/>
  </r>
  <r>
    <n v="386"/>
    <d v="2024-10-21T00:00:00"/>
    <s v="Joseph Mueller"/>
    <s v="Headphones"/>
    <x v="4"/>
    <n v="4"/>
    <n v="234.74"/>
    <n v="938.96"/>
    <n v="93.9"/>
    <n v="1032.8599999999999"/>
  </r>
  <r>
    <n v="111"/>
    <d v="2024-09-06T00:00:00"/>
    <s v="Teresa Carter"/>
    <s v="Desk"/>
    <x v="0"/>
    <n v="9"/>
    <n v="104.19"/>
    <n v="937.71"/>
    <n v="93.77"/>
    <n v="1031.48"/>
  </r>
  <r>
    <n v="62"/>
    <d v="2024-07-22T00:00:00"/>
    <s v="Kristen Kim"/>
    <s v="Sweater"/>
    <x v="1"/>
    <n v="10"/>
    <n v="93.59"/>
    <n v="935.9"/>
    <n v="93.59"/>
    <n v="1029.49"/>
  </r>
  <r>
    <n v="387"/>
    <d v="2024-06-23T00:00:00"/>
    <s v="Dana Park"/>
    <s v="Smartphone"/>
    <x v="4"/>
    <n v="7"/>
    <n v="132.05000000000001"/>
    <n v="924.35"/>
    <n v="92.44"/>
    <n v="1016.79"/>
  </r>
  <r>
    <n v="228"/>
    <d v="2024-07-18T00:00:00"/>
    <s v="Sabrina Yang"/>
    <s v="Dining Table"/>
    <x v="0"/>
    <n v="2"/>
    <n v="458.69"/>
    <n v="917.38"/>
    <n v="91.74"/>
    <n v="1009.12"/>
  </r>
  <r>
    <n v="112"/>
    <d v="2025-01-11T00:00:00"/>
    <s v="Brandon White"/>
    <s v="Puzzle"/>
    <x v="2"/>
    <n v="4"/>
    <n v="226.32"/>
    <n v="905.28"/>
    <n v="90.53"/>
    <n v="995.81"/>
  </r>
  <r>
    <n v="238"/>
    <d v="2024-12-14T00:00:00"/>
    <s v="John Nichols"/>
    <s v="Jacket"/>
    <x v="1"/>
    <n v="4"/>
    <n v="225.97"/>
    <n v="903.88"/>
    <n v="90.39"/>
    <n v="994.27"/>
  </r>
  <r>
    <n v="458"/>
    <d v="2024-11-05T00:00:00"/>
    <s v="Brian Lane"/>
    <s v="Puzzle"/>
    <x v="2"/>
    <n v="8"/>
    <n v="112.75"/>
    <n v="902"/>
    <n v="90.2"/>
    <n v="992.2"/>
  </r>
  <r>
    <n v="201"/>
    <d v="2024-12-18T00:00:00"/>
    <s v="Marcus Delgado"/>
    <s v="Sofa"/>
    <x v="0"/>
    <n v="10"/>
    <n v="90.02"/>
    <n v="900.2"/>
    <n v="90.02"/>
    <n v="990.22"/>
  </r>
  <r>
    <n v="457"/>
    <d v="2024-12-27T00:00:00"/>
    <s v="Amanda Harper"/>
    <s v="Eggs"/>
    <x v="3"/>
    <n v="4"/>
    <n v="223.66"/>
    <n v="894.64"/>
    <n v="89.46"/>
    <n v="984.1"/>
  </r>
  <r>
    <n v="205"/>
    <d v="2024-07-24T00:00:00"/>
    <s v="Katherine Armstrong"/>
    <s v="Sofa"/>
    <x v="0"/>
    <n v="2"/>
    <n v="445.77"/>
    <n v="891.54"/>
    <n v="89.15"/>
    <n v="980.69"/>
  </r>
  <r>
    <n v="218"/>
    <d v="2024-08-03T00:00:00"/>
    <s v="Andrew Johnson"/>
    <s v="Sofa"/>
    <x v="0"/>
    <n v="10"/>
    <n v="88.86"/>
    <n v="888.6"/>
    <n v="88.86"/>
    <n v="977.46"/>
  </r>
  <r>
    <n v="14"/>
    <d v="2024-06-10T00:00:00"/>
    <s v="Micheal Rosales"/>
    <s v="Sweater"/>
    <x v="1"/>
    <n v="2"/>
    <n v="442.69"/>
    <n v="885.38"/>
    <n v="88.54"/>
    <n v="973.92"/>
  </r>
  <r>
    <n v="310"/>
    <d v="2024-11-07T00:00:00"/>
    <s v="Laura Coleman"/>
    <s v="Puzzle"/>
    <x v="2"/>
    <n v="3"/>
    <n v="294.47000000000003"/>
    <n v="883.41"/>
    <n v="88.34"/>
    <n v="971.75"/>
  </r>
  <r>
    <n v="202"/>
    <d v="2024-09-20T00:00:00"/>
    <s v="Jeffrey Brown"/>
    <s v="Doll"/>
    <x v="2"/>
    <n v="2"/>
    <n v="441.17"/>
    <n v="882.34"/>
    <n v="88.23"/>
    <n v="970.57"/>
  </r>
  <r>
    <n v="341"/>
    <d v="2024-02-11T00:00:00"/>
    <s v="Charles Welch"/>
    <s v="Puzzle"/>
    <x v="2"/>
    <n v="3"/>
    <n v="293.39999999999998"/>
    <n v="880.2"/>
    <n v="88.02"/>
    <n v="968.22"/>
  </r>
  <r>
    <n v="83"/>
    <d v="2024-12-07T00:00:00"/>
    <s v="Brooke Lowe"/>
    <s v="Bookshelf"/>
    <x v="0"/>
    <n v="2"/>
    <n v="435.22"/>
    <n v="870.44"/>
    <n v="87.04"/>
    <n v="957.48"/>
  </r>
  <r>
    <n v="13"/>
    <d v="2024-04-18T00:00:00"/>
    <s v="Susan Dixon DDS"/>
    <s v="Puzzle"/>
    <x v="2"/>
    <n v="2"/>
    <n v="432.86"/>
    <n v="865.72"/>
    <n v="86.57"/>
    <n v="952.29"/>
  </r>
  <r>
    <n v="128"/>
    <d v="2024-12-20T00:00:00"/>
    <s v="Danielle Moss"/>
    <s v="Jacket"/>
    <x v="1"/>
    <n v="9"/>
    <n v="96.17"/>
    <n v="865.53"/>
    <n v="86.55"/>
    <n v="952.08"/>
  </r>
  <r>
    <n v="410"/>
    <d v="2024-11-27T00:00:00"/>
    <s v="Kimberly Beasley"/>
    <s v="T-Shirt"/>
    <x v="1"/>
    <n v="2"/>
    <n v="431.56"/>
    <n v="863.12"/>
    <n v="86.31"/>
    <n v="949.43"/>
  </r>
  <r>
    <n v="470"/>
    <d v="2024-04-25T00:00:00"/>
    <s v="William Paul"/>
    <s v="Shoes"/>
    <x v="1"/>
    <n v="10"/>
    <n v="85.89"/>
    <n v="858.9"/>
    <n v="85.89"/>
    <n v="944.79"/>
  </r>
  <r>
    <n v="282"/>
    <d v="2024-11-14T00:00:00"/>
    <s v="Anthony Ward"/>
    <s v="Laptop"/>
    <x v="4"/>
    <n v="5"/>
    <n v="171.69"/>
    <n v="858.45"/>
    <n v="85.85"/>
    <n v="944.3"/>
  </r>
  <r>
    <n v="234"/>
    <d v="2024-03-11T00:00:00"/>
    <s v="Elizabeth Simpson"/>
    <s v="Eggs"/>
    <x v="3"/>
    <n v="5"/>
    <n v="171.24"/>
    <n v="856.2"/>
    <n v="85.62"/>
    <n v="941.82"/>
  </r>
  <r>
    <n v="251"/>
    <d v="2024-08-17T00:00:00"/>
    <s v="Alan Vega"/>
    <s v="Puzzle"/>
    <x v="2"/>
    <n v="10"/>
    <n v="85.36"/>
    <n v="853.6"/>
    <n v="85.36"/>
    <n v="938.96"/>
  </r>
  <r>
    <n v="313"/>
    <d v="2024-07-11T00:00:00"/>
    <s v="Juan Allen"/>
    <s v="Desk"/>
    <x v="0"/>
    <n v="2"/>
    <n v="422.63"/>
    <n v="845.26"/>
    <n v="84.53"/>
    <n v="929.79"/>
  </r>
  <r>
    <n v="184"/>
    <d v="2024-05-24T00:00:00"/>
    <s v="Randy Orozco"/>
    <s v="Milk"/>
    <x v="3"/>
    <n v="3"/>
    <n v="281.69"/>
    <n v="845.07"/>
    <n v="84.51"/>
    <n v="929.58"/>
  </r>
  <r>
    <n v="372"/>
    <d v="2024-11-01T00:00:00"/>
    <s v="Emily Maynard"/>
    <s v="Dining Table"/>
    <x v="0"/>
    <n v="3"/>
    <n v="278.52"/>
    <n v="835.56"/>
    <n v="83.56"/>
    <n v="919.12"/>
  </r>
  <r>
    <n v="300"/>
    <d v="2024-05-23T00:00:00"/>
    <s v="Lisa Miller"/>
    <s v="Shoes"/>
    <x v="1"/>
    <n v="2"/>
    <n v="417.61"/>
    <n v="835.22"/>
    <n v="83.52"/>
    <n v="918.74"/>
  </r>
  <r>
    <n v="109"/>
    <d v="2024-10-24T00:00:00"/>
    <s v="Nancy Herring"/>
    <s v="Shoes"/>
    <x v="1"/>
    <n v="5"/>
    <n v="163.68"/>
    <n v="818.4"/>
    <n v="81.84"/>
    <n v="900.24"/>
  </r>
  <r>
    <n v="114"/>
    <d v="2024-11-11T00:00:00"/>
    <s v="Terry Lloyd"/>
    <s v="Laptop"/>
    <x v="4"/>
    <n v="9"/>
    <n v="90.15"/>
    <n v="811.35"/>
    <n v="81.14"/>
    <n v="892.49"/>
  </r>
  <r>
    <n v="365"/>
    <d v="2024-03-18T00:00:00"/>
    <s v="Donna Burch"/>
    <s v="Vegetables"/>
    <x v="3"/>
    <n v="4"/>
    <n v="200.65"/>
    <n v="802.6"/>
    <n v="80.260000000000005"/>
    <n v="882.86"/>
  </r>
  <r>
    <n v="480"/>
    <d v="2024-09-05T00:00:00"/>
    <s v="Daniel Clark"/>
    <s v="Sweater"/>
    <x v="1"/>
    <n v="5"/>
    <n v="160.07"/>
    <n v="800.35"/>
    <n v="80.040000000000006"/>
    <n v="880.39"/>
  </r>
  <r>
    <n v="102"/>
    <d v="2024-04-09T00:00:00"/>
    <s v="George Jordan"/>
    <s v="Smartphone"/>
    <x v="4"/>
    <n v="9"/>
    <n v="88.05"/>
    <n v="792.45"/>
    <n v="79.25"/>
    <n v="871.7"/>
  </r>
  <r>
    <n v="180"/>
    <d v="2024-04-12T00:00:00"/>
    <s v="Meghan Ramos"/>
    <s v="Sweater"/>
    <x v="1"/>
    <n v="4"/>
    <n v="197.44"/>
    <n v="789.76"/>
    <n v="78.98"/>
    <n v="868.74"/>
  </r>
  <r>
    <n v="389"/>
    <d v="2024-10-10T00:00:00"/>
    <s v="Roger White"/>
    <s v="Bookshelf"/>
    <x v="0"/>
    <n v="4"/>
    <n v="194.89"/>
    <n v="779.56"/>
    <n v="77.959999999999994"/>
    <n v="857.52"/>
  </r>
  <r>
    <n v="129"/>
    <d v="2024-06-20T00:00:00"/>
    <s v="Donald Rojas"/>
    <s v="Jeans"/>
    <x v="1"/>
    <n v="4"/>
    <n v="193.19"/>
    <n v="772.76"/>
    <n v="77.28"/>
    <n v="850.04"/>
  </r>
  <r>
    <n v="265"/>
    <d v="2024-02-29T00:00:00"/>
    <s v="Zachary Gates"/>
    <s v="Jacket"/>
    <x v="1"/>
    <n v="2"/>
    <n v="382.92"/>
    <n v="765.84"/>
    <n v="76.58"/>
    <n v="842.42"/>
  </r>
  <r>
    <n v="475"/>
    <d v="2024-11-01T00:00:00"/>
    <s v="Yolanda Sweeney"/>
    <s v="T-Shirt"/>
    <x v="1"/>
    <n v="2"/>
    <n v="382.7"/>
    <n v="765.4"/>
    <n v="76.540000000000006"/>
    <n v="841.94"/>
  </r>
  <r>
    <n v="328"/>
    <d v="2024-10-26T00:00:00"/>
    <s v="Sarah Combs"/>
    <s v="Action Figure"/>
    <x v="2"/>
    <n v="6"/>
    <n v="124.92"/>
    <n v="749.52"/>
    <n v="74.95"/>
    <n v="824.47"/>
  </r>
  <r>
    <n v="87"/>
    <d v="2024-03-01T00:00:00"/>
    <s v="James Smith"/>
    <s v="Laptop"/>
    <x v="4"/>
    <n v="4"/>
    <n v="187.27"/>
    <n v="749.08"/>
    <n v="74.91"/>
    <n v="823.99"/>
  </r>
  <r>
    <n v="41"/>
    <d v="2024-10-09T00:00:00"/>
    <s v="Christopher Walker"/>
    <s v="Milk"/>
    <x v="3"/>
    <n v="6"/>
    <n v="123.45"/>
    <n v="740.7"/>
    <n v="74.069999999999993"/>
    <n v="814.77"/>
  </r>
  <r>
    <n v="348"/>
    <d v="2024-06-07T00:00:00"/>
    <s v="Craig Tyler"/>
    <s v="Sofa"/>
    <x v="0"/>
    <n v="8"/>
    <n v="90.71"/>
    <n v="725.68"/>
    <n v="72.569999999999993"/>
    <n v="798.25"/>
  </r>
  <r>
    <n v="474"/>
    <d v="2024-05-10T00:00:00"/>
    <s v="Rebecca Byrd"/>
    <s v="Fruits"/>
    <x v="3"/>
    <n v="3"/>
    <n v="239.49"/>
    <n v="718.47"/>
    <n v="71.849999999999994"/>
    <n v="790.32"/>
  </r>
  <r>
    <n v="207"/>
    <d v="2024-07-15T00:00:00"/>
    <s v="Rose Green"/>
    <s v="Shoes"/>
    <x v="1"/>
    <n v="2"/>
    <n v="355.99"/>
    <n v="711.98"/>
    <n v="71.2"/>
    <n v="783.18"/>
  </r>
  <r>
    <n v="100"/>
    <d v="2024-03-24T00:00:00"/>
    <s v="Rachel Torres"/>
    <s v="Bread"/>
    <x v="3"/>
    <n v="3"/>
    <n v="235.77"/>
    <n v="707.31"/>
    <n v="70.73"/>
    <n v="778.04"/>
  </r>
  <r>
    <n v="291"/>
    <d v="2024-02-11T00:00:00"/>
    <s v="Tami Collins"/>
    <s v="Bookshelf"/>
    <x v="0"/>
    <n v="7"/>
    <n v="99.03"/>
    <n v="693.21"/>
    <n v="69.319999999999993"/>
    <n v="762.53"/>
  </r>
  <r>
    <n v="467"/>
    <d v="2024-05-28T00:00:00"/>
    <s v="James Bradley"/>
    <s v="Tablet"/>
    <x v="4"/>
    <n v="3"/>
    <n v="230.59"/>
    <n v="691.77"/>
    <n v="69.180000000000007"/>
    <n v="760.95"/>
  </r>
  <r>
    <n v="429"/>
    <d v="2024-04-22T00:00:00"/>
    <s v="David Young"/>
    <s v="Fruits"/>
    <x v="3"/>
    <n v="3"/>
    <n v="230.48"/>
    <n v="691.44"/>
    <n v="69.14"/>
    <n v="760.58"/>
  </r>
  <r>
    <n v="135"/>
    <d v="2024-03-06T00:00:00"/>
    <s v="Joshua Johnson"/>
    <s v="Desk"/>
    <x v="0"/>
    <n v="4"/>
    <n v="172.15"/>
    <n v="688.6"/>
    <n v="68.86"/>
    <n v="757.46"/>
  </r>
  <r>
    <n v="274"/>
    <d v="2024-02-10T00:00:00"/>
    <s v="Thomas Sanchez"/>
    <s v="Desk"/>
    <x v="0"/>
    <n v="5"/>
    <n v="137.65"/>
    <n v="688.25"/>
    <n v="68.83"/>
    <n v="757.08"/>
  </r>
  <r>
    <n v="101"/>
    <d v="2024-02-21T00:00:00"/>
    <s v="Paul Collins"/>
    <s v="T-Shirt"/>
    <x v="1"/>
    <n v="5"/>
    <n v="137.06"/>
    <n v="685.3"/>
    <n v="68.53"/>
    <n v="753.83"/>
  </r>
  <r>
    <n v="137"/>
    <d v="2024-12-21T00:00:00"/>
    <s v="Michael Robertson"/>
    <s v="Bread"/>
    <x v="3"/>
    <n v="4"/>
    <n v="171.11"/>
    <n v="684.44"/>
    <n v="68.44"/>
    <n v="752.88"/>
  </r>
  <r>
    <n v="11"/>
    <d v="2024-08-27T00:00:00"/>
    <s v="Robert Richards"/>
    <s v="Board Game"/>
    <x v="2"/>
    <n v="5"/>
    <n v="135.16"/>
    <n v="675.8"/>
    <n v="67.58"/>
    <n v="743.38"/>
  </r>
  <r>
    <n v="393"/>
    <d v="2024-12-25T00:00:00"/>
    <s v="Brenda Hicks"/>
    <s v="Smartphone"/>
    <x v="4"/>
    <n v="5"/>
    <n v="134.46"/>
    <n v="672.3"/>
    <n v="67.23"/>
    <n v="739.53"/>
  </r>
  <r>
    <n v="444"/>
    <d v="2024-07-18T00:00:00"/>
    <s v="Harry Daugherty"/>
    <s v="Jacket"/>
    <x v="1"/>
    <n v="3"/>
    <n v="216.63"/>
    <n v="649.89"/>
    <n v="64.989999999999995"/>
    <n v="714.88"/>
  </r>
  <r>
    <n v="330"/>
    <d v="2024-08-31T00:00:00"/>
    <s v="Brandon Serrano"/>
    <s v="Board Game"/>
    <x v="2"/>
    <n v="8"/>
    <n v="80.16"/>
    <n v="641.28"/>
    <n v="64.13"/>
    <n v="705.41"/>
  </r>
  <r>
    <n v="345"/>
    <d v="2024-06-10T00:00:00"/>
    <s v="Benjamin Green"/>
    <s v="Smartwatch"/>
    <x v="4"/>
    <n v="5"/>
    <n v="128.21"/>
    <n v="641.04999999999995"/>
    <n v="64.11"/>
    <n v="705.16"/>
  </r>
  <r>
    <n v="4"/>
    <d v="2024-07-12T00:00:00"/>
    <s v="Jeffrey Mcdonald"/>
    <s v="Vegetables"/>
    <x v="3"/>
    <n v="5"/>
    <n v="126.46"/>
    <n v="632.29999999999995"/>
    <n v="63.23"/>
    <n v="695.53"/>
  </r>
  <r>
    <n v="17"/>
    <d v="2024-08-01T00:00:00"/>
    <s v="Annette Jefferson"/>
    <s v="Laptop"/>
    <x v="4"/>
    <n v="2"/>
    <n v="303.72000000000003"/>
    <n v="607.44000000000005"/>
    <n v="60.74"/>
    <n v="668.18"/>
  </r>
  <r>
    <n v="449"/>
    <d v="2024-03-21T00:00:00"/>
    <s v="Robert Burch DVM"/>
    <s v="Office Chair"/>
    <x v="0"/>
    <n v="3"/>
    <n v="202.23"/>
    <n v="606.69000000000005"/>
    <n v="60.67"/>
    <n v="667.36"/>
  </r>
  <r>
    <n v="224"/>
    <d v="2024-11-22T00:00:00"/>
    <s v="Dana Jones"/>
    <s v="T-Shirt"/>
    <x v="1"/>
    <n v="5"/>
    <n v="120.9"/>
    <n v="604.5"/>
    <n v="60.45"/>
    <n v="664.95"/>
  </r>
  <r>
    <n v="66"/>
    <d v="2024-03-13T00:00:00"/>
    <s v="Rebecca Carter"/>
    <s v="Jacket"/>
    <x v="1"/>
    <n v="3"/>
    <n v="200.03"/>
    <n v="600.09"/>
    <n v="60.01"/>
    <n v="660.1"/>
  </r>
  <r>
    <n v="151"/>
    <d v="2024-06-20T00:00:00"/>
    <s v="James Ford"/>
    <s v="Dining Table"/>
    <x v="0"/>
    <n v="2"/>
    <n v="299.42"/>
    <n v="598.84"/>
    <n v="59.88"/>
    <n v="658.72"/>
  </r>
  <r>
    <n v="303"/>
    <d v="2024-05-14T00:00:00"/>
    <s v="Michael Sosa"/>
    <s v="Smartphone"/>
    <x v="4"/>
    <n v="2"/>
    <n v="297.95999999999998"/>
    <n v="595.91999999999996"/>
    <n v="59.59"/>
    <n v="655.51"/>
  </r>
  <r>
    <n v="346"/>
    <d v="2024-05-10T00:00:00"/>
    <s v="Sara Chung"/>
    <s v="Smartwatch"/>
    <x v="4"/>
    <n v="3"/>
    <n v="197.97"/>
    <n v="593.91"/>
    <n v="59.39"/>
    <n v="653.29999999999995"/>
  </r>
  <r>
    <n v="248"/>
    <d v="2025-01-30T00:00:00"/>
    <s v="Jack Burch"/>
    <s v="Action Figure"/>
    <x v="2"/>
    <n v="2"/>
    <n v="295.95"/>
    <n v="591.9"/>
    <n v="59.19"/>
    <n v="651.09"/>
  </r>
  <r>
    <n v="299"/>
    <d v="2024-02-05T00:00:00"/>
    <s v="Erin Tran"/>
    <s v="Action Figure"/>
    <x v="2"/>
    <n v="2"/>
    <n v="286.14999999999998"/>
    <n v="572.29999999999995"/>
    <n v="57.23"/>
    <n v="629.53"/>
  </r>
  <r>
    <n v="268"/>
    <d v="2024-10-26T00:00:00"/>
    <s v="Rebecca Jackson"/>
    <s v="Jacket"/>
    <x v="1"/>
    <n v="6"/>
    <n v="94.29"/>
    <n v="565.74"/>
    <n v="56.57"/>
    <n v="622.30999999999995"/>
  </r>
  <r>
    <n v="147"/>
    <d v="2024-09-30T00:00:00"/>
    <s v="Jennifer Harvey"/>
    <s v="Tablet"/>
    <x v="4"/>
    <n v="3"/>
    <n v="188.06"/>
    <n v="564.17999999999995"/>
    <n v="56.42"/>
    <n v="620.6"/>
  </r>
  <r>
    <n v="416"/>
    <d v="2024-06-14T00:00:00"/>
    <s v="Wendy Jones"/>
    <s v="Doll"/>
    <x v="2"/>
    <n v="2"/>
    <n v="279.31"/>
    <n v="558.62"/>
    <n v="55.86"/>
    <n v="614.48"/>
  </r>
  <r>
    <n v="247"/>
    <d v="2024-10-26T00:00:00"/>
    <s v="Matthew King"/>
    <s v="Sofa"/>
    <x v="0"/>
    <n v="2"/>
    <n v="278.62"/>
    <n v="557.24"/>
    <n v="55.72"/>
    <n v="612.96"/>
  </r>
  <r>
    <n v="495"/>
    <d v="2024-09-25T00:00:00"/>
    <s v="Amy Bentley"/>
    <s v="Headphones"/>
    <x v="4"/>
    <n v="2"/>
    <n v="273.82"/>
    <n v="547.64"/>
    <n v="54.76"/>
    <n v="602.4"/>
  </r>
  <r>
    <n v="302"/>
    <d v="2024-11-22T00:00:00"/>
    <s v="Phillip Gonzalez"/>
    <s v="Laptop"/>
    <x v="4"/>
    <n v="3"/>
    <n v="180.35"/>
    <n v="541.04999999999995"/>
    <n v="54.1"/>
    <n v="595.15"/>
  </r>
  <r>
    <n v="296"/>
    <d v="2024-08-14T00:00:00"/>
    <s v="Christine Wilson"/>
    <s v="Sweater"/>
    <x v="1"/>
    <n v="5"/>
    <n v="108.04"/>
    <n v="540.20000000000005"/>
    <n v="54.02"/>
    <n v="594.22"/>
  </r>
  <r>
    <n v="261"/>
    <d v="2024-12-12T00:00:00"/>
    <s v="Brandon Castillo"/>
    <s v="Jeans"/>
    <x v="1"/>
    <n v="2"/>
    <n v="269.75"/>
    <n v="539.5"/>
    <n v="53.95"/>
    <n v="593.45000000000005"/>
  </r>
  <r>
    <n v="190"/>
    <d v="2024-05-18T00:00:00"/>
    <s v="Leah Henderson"/>
    <s v="Lego Set"/>
    <x v="2"/>
    <n v="2"/>
    <n v="267.92"/>
    <n v="535.84"/>
    <n v="53.58"/>
    <n v="589.41999999999996"/>
  </r>
  <r>
    <n v="243"/>
    <d v="2024-07-03T00:00:00"/>
    <s v="Toni Murray"/>
    <s v="Headphones"/>
    <x v="4"/>
    <n v="10"/>
    <n v="52.93"/>
    <n v="529.29999999999995"/>
    <n v="52.93"/>
    <n v="582.23"/>
  </r>
  <r>
    <n v="497"/>
    <d v="2024-10-23T00:00:00"/>
    <s v="Michelle Carlson"/>
    <s v="Office Chair"/>
    <x v="0"/>
    <n v="2"/>
    <n v="264.08"/>
    <n v="528.16"/>
    <n v="52.82"/>
    <n v="580.98"/>
  </r>
  <r>
    <n v="10"/>
    <d v="2024-09-05T00:00:00"/>
    <s v="Kristen Mayer"/>
    <s v="Vegetables"/>
    <x v="3"/>
    <n v="3"/>
    <n v="172.45"/>
    <n v="517.35"/>
    <n v="51.74"/>
    <n v="569.09"/>
  </r>
  <r>
    <n v="494"/>
    <d v="2024-11-01T00:00:00"/>
    <s v="Hector Leonard"/>
    <s v="Vegetables"/>
    <x v="3"/>
    <n v="4"/>
    <n v="127.58"/>
    <n v="510.32"/>
    <n v="51.03"/>
    <n v="561.35"/>
  </r>
  <r>
    <n v="65"/>
    <d v="2024-04-01T00:00:00"/>
    <s v="Cheryl Meadows"/>
    <s v="Headphones"/>
    <x v="4"/>
    <n v="5"/>
    <n v="101.44"/>
    <n v="507.2"/>
    <n v="50.72"/>
    <n v="557.91999999999996"/>
  </r>
  <r>
    <n v="157"/>
    <d v="2024-12-25T00:00:00"/>
    <s v="William Ramirez"/>
    <s v="Bread"/>
    <x v="3"/>
    <n v="2"/>
    <n v="253.47"/>
    <n v="506.94"/>
    <n v="50.69"/>
    <n v="557.63"/>
  </r>
  <r>
    <n v="171"/>
    <d v="2024-04-03T00:00:00"/>
    <s v="Alexander Allen"/>
    <s v="Smartphone"/>
    <x v="4"/>
    <n v="7"/>
    <n v="72.37"/>
    <n v="506.59"/>
    <n v="50.66"/>
    <n v="557.25"/>
  </r>
  <r>
    <n v="270"/>
    <d v="2024-08-09T00:00:00"/>
    <s v="Samantha Figueroa"/>
    <s v="Tablet"/>
    <x v="4"/>
    <n v="6"/>
    <n v="84.07"/>
    <n v="504.42"/>
    <n v="50.44"/>
    <n v="554.86"/>
  </r>
  <r>
    <n v="312"/>
    <d v="2024-07-25T00:00:00"/>
    <s v="Matthew Fox"/>
    <s v="Eggs"/>
    <x v="3"/>
    <n v="6"/>
    <n v="83.87"/>
    <n v="503.22"/>
    <n v="50.32"/>
    <n v="553.54"/>
  </r>
  <r>
    <n v="278"/>
    <d v="2024-10-24T00:00:00"/>
    <s v="Marcus Burton"/>
    <s v="Jeans"/>
    <x v="1"/>
    <n v="8"/>
    <n v="62.66"/>
    <n v="501.28"/>
    <n v="50.13"/>
    <n v="551.41"/>
  </r>
  <r>
    <n v="3"/>
    <d v="2024-02-21T00:00:00"/>
    <s v="Miss Cynthia Owens"/>
    <s v="Jeans"/>
    <x v="1"/>
    <n v="6"/>
    <n v="83.48"/>
    <n v="500.88"/>
    <n v="50.09"/>
    <n v="550.97"/>
  </r>
  <r>
    <n v="383"/>
    <d v="2024-11-06T00:00:00"/>
    <s v="Denise Gibson"/>
    <s v="Milk"/>
    <x v="3"/>
    <n v="4"/>
    <n v="124.03"/>
    <n v="496.12"/>
    <n v="49.61"/>
    <n v="545.73"/>
  </r>
  <r>
    <n v="55"/>
    <d v="2024-05-11T00:00:00"/>
    <s v="Christopher Lee"/>
    <s v="Vegetables"/>
    <x v="3"/>
    <n v="10"/>
    <n v="49.56"/>
    <n v="495.6"/>
    <n v="49.56"/>
    <n v="545.16"/>
  </r>
  <r>
    <n v="481"/>
    <d v="2024-04-19T00:00:00"/>
    <s v="Deborah Simmons"/>
    <s v="Shoes"/>
    <x v="1"/>
    <n v="4"/>
    <n v="121.63"/>
    <n v="486.52"/>
    <n v="48.65"/>
    <n v="535.16999999999996"/>
  </r>
  <r>
    <n v="153"/>
    <d v="2024-04-18T00:00:00"/>
    <s v="Mrs. Brandi Morales"/>
    <s v="Laptop"/>
    <x v="4"/>
    <n v="1"/>
    <n v="485.41"/>
    <n v="485.41"/>
    <n v="48.54"/>
    <n v="533.95000000000005"/>
  </r>
  <r>
    <n v="200"/>
    <d v="2024-07-06T00:00:00"/>
    <s v="Catherine Villegas"/>
    <s v="Sweater"/>
    <x v="1"/>
    <n v="2"/>
    <n v="240.56"/>
    <n v="481.12"/>
    <n v="48.11"/>
    <n v="529.23"/>
  </r>
  <r>
    <n v="26"/>
    <d v="2024-02-23T00:00:00"/>
    <s v="Ashley Sims"/>
    <s v="Office Chair"/>
    <x v="0"/>
    <n v="7"/>
    <n v="68.52"/>
    <n v="479.64"/>
    <n v="47.96"/>
    <n v="527.6"/>
  </r>
  <r>
    <n v="144"/>
    <d v="2024-08-04T00:00:00"/>
    <s v="David Hernandez"/>
    <s v="T-Shirt"/>
    <x v="1"/>
    <n v="2"/>
    <n v="235.86"/>
    <n v="471.72"/>
    <n v="47.17"/>
    <n v="518.89"/>
  </r>
  <r>
    <n v="262"/>
    <d v="2024-09-25T00:00:00"/>
    <s v="Stephanie Perez"/>
    <s v="Puzzle"/>
    <x v="2"/>
    <n v="7"/>
    <n v="67.36"/>
    <n v="471.52"/>
    <n v="47.15"/>
    <n v="518.66999999999996"/>
  </r>
  <r>
    <n v="293"/>
    <d v="2024-09-19T00:00:00"/>
    <s v="Jason Hayes"/>
    <s v="Vegetables"/>
    <x v="3"/>
    <n v="1"/>
    <n v="468.71"/>
    <n v="468.71"/>
    <n v="46.87"/>
    <n v="515.58000000000004"/>
  </r>
  <r>
    <n v="45"/>
    <d v="2024-07-04T00:00:00"/>
    <s v="Jason Robinson"/>
    <s v="Smartwatch"/>
    <x v="4"/>
    <n v="8"/>
    <n v="58.44"/>
    <n v="467.52"/>
    <n v="46.75"/>
    <n v="514.27"/>
  </r>
  <r>
    <n v="204"/>
    <d v="2024-11-12T00:00:00"/>
    <s v="Carla Hughes"/>
    <s v="Sweater"/>
    <x v="1"/>
    <n v="4"/>
    <n v="114.76"/>
    <n v="459.04"/>
    <n v="45.9"/>
    <n v="504.94"/>
  </r>
  <r>
    <n v="428"/>
    <d v="2024-07-17T00:00:00"/>
    <s v="Ashley Ray"/>
    <s v="Smartwatch"/>
    <x v="4"/>
    <n v="2"/>
    <n v="228.59"/>
    <n v="457.18"/>
    <n v="45.72"/>
    <n v="502.9"/>
  </r>
  <r>
    <n v="138"/>
    <d v="2024-02-28T00:00:00"/>
    <s v="Rebecca Gonzalez"/>
    <s v="Bread"/>
    <x v="3"/>
    <n v="3"/>
    <n v="151.62"/>
    <n v="454.86"/>
    <n v="45.49"/>
    <n v="500.35"/>
  </r>
  <r>
    <n v="263"/>
    <d v="2024-12-26T00:00:00"/>
    <s v="Robert Richards"/>
    <s v="Office Chair"/>
    <x v="0"/>
    <n v="6"/>
    <n v="75.69"/>
    <n v="454.14"/>
    <n v="45.41"/>
    <n v="499.55"/>
  </r>
  <r>
    <n v="203"/>
    <d v="2024-11-12T00:00:00"/>
    <s v="Jennifer Burns"/>
    <s v="Puzzle"/>
    <x v="2"/>
    <n v="2"/>
    <n v="227.03"/>
    <n v="454.06"/>
    <n v="45.41"/>
    <n v="499.47"/>
  </r>
  <r>
    <n v="409"/>
    <d v="2025-01-23T00:00:00"/>
    <s v="Ashley Munoz"/>
    <s v="Puzzle"/>
    <x v="2"/>
    <n v="7"/>
    <n v="64.86"/>
    <n v="454.02"/>
    <n v="45.4"/>
    <n v="499.42"/>
  </r>
  <r>
    <n v="359"/>
    <d v="2024-04-20T00:00:00"/>
    <s v="Veronica Smith"/>
    <s v="Lego Set"/>
    <x v="2"/>
    <n v="1"/>
    <n v="451.11"/>
    <n v="451.11"/>
    <n v="45.11"/>
    <n v="496.22"/>
  </r>
  <r>
    <n v="352"/>
    <d v="2024-06-13T00:00:00"/>
    <s v="Tara Vaughn"/>
    <s v="Sofa"/>
    <x v="0"/>
    <n v="1"/>
    <n v="445.6"/>
    <n v="445.6"/>
    <n v="44.56"/>
    <n v="490.16"/>
  </r>
  <r>
    <n v="241"/>
    <d v="2024-03-01T00:00:00"/>
    <s v="David Stein"/>
    <s v="Bread"/>
    <x v="3"/>
    <n v="2"/>
    <n v="222.41"/>
    <n v="444.82"/>
    <n v="44.48"/>
    <n v="489.3"/>
  </r>
  <r>
    <n v="391"/>
    <d v="2024-10-11T00:00:00"/>
    <s v="Joshua Allen DVM"/>
    <s v="Bread"/>
    <x v="3"/>
    <n v="1"/>
    <n v="437.89"/>
    <n v="437.89"/>
    <n v="43.79"/>
    <n v="481.68"/>
  </r>
  <r>
    <n v="199"/>
    <d v="2024-09-11T00:00:00"/>
    <s v="Randy Griffin"/>
    <s v="Lego Set"/>
    <x v="2"/>
    <n v="9"/>
    <n v="47.71"/>
    <n v="429.39"/>
    <n v="42.94"/>
    <n v="472.33"/>
  </r>
  <r>
    <n v="161"/>
    <d v="2024-05-08T00:00:00"/>
    <s v="Tammy Snow"/>
    <s v="Desk"/>
    <x v="0"/>
    <n v="1"/>
    <n v="428.59"/>
    <n v="428.59"/>
    <n v="42.86"/>
    <n v="471.45"/>
  </r>
  <r>
    <n v="223"/>
    <d v="2024-11-14T00:00:00"/>
    <s v="Joseph Turner"/>
    <s v="Lego Set"/>
    <x v="2"/>
    <n v="9"/>
    <n v="47.56"/>
    <n v="428.04"/>
    <n v="42.8"/>
    <n v="470.84"/>
  </r>
  <r>
    <n v="414"/>
    <d v="2024-12-19T00:00:00"/>
    <s v="Ralph Mccoy"/>
    <s v="Lego Set"/>
    <x v="2"/>
    <n v="1"/>
    <n v="427.45"/>
    <n v="427.45"/>
    <n v="42.75"/>
    <n v="470.2"/>
  </r>
  <r>
    <n v="361"/>
    <d v="2024-10-25T00:00:00"/>
    <s v="Kayla Contreras"/>
    <s v="Eggs"/>
    <x v="3"/>
    <n v="1"/>
    <n v="421.42"/>
    <n v="421.42"/>
    <n v="42.14"/>
    <n v="463.56"/>
  </r>
  <r>
    <n v="133"/>
    <d v="2024-12-20T00:00:00"/>
    <s v="Debra Atkins"/>
    <s v="Doll"/>
    <x v="2"/>
    <n v="2"/>
    <n v="209.59"/>
    <n v="419.18"/>
    <n v="41.92"/>
    <n v="461.1"/>
  </r>
  <r>
    <n v="46"/>
    <d v="2024-02-23T00:00:00"/>
    <s v="Joanna Wilkerson"/>
    <s v="Vegetables"/>
    <x v="3"/>
    <n v="1"/>
    <n v="413.9"/>
    <n v="413.9"/>
    <n v="41.39"/>
    <n v="455.29"/>
  </r>
  <r>
    <n v="22"/>
    <d v="2024-03-08T00:00:00"/>
    <s v="Hunter Morrow"/>
    <s v="Laptop"/>
    <x v="4"/>
    <n v="4"/>
    <n v="100.91"/>
    <n v="403.64"/>
    <n v="40.36"/>
    <n v="444"/>
  </r>
  <r>
    <n v="124"/>
    <d v="2024-09-15T00:00:00"/>
    <s v="Katie Bernard"/>
    <s v="Sweater"/>
    <x v="1"/>
    <n v="2"/>
    <n v="201.65"/>
    <n v="403.3"/>
    <n v="40.33"/>
    <n v="443.63"/>
  </r>
  <r>
    <n v="311"/>
    <d v="2024-11-26T00:00:00"/>
    <s v="John Green"/>
    <s v="Laptop"/>
    <x v="4"/>
    <n v="10"/>
    <n v="40.049999999999997"/>
    <n v="400.5"/>
    <n v="40.049999999999997"/>
    <n v="440.55"/>
  </r>
  <r>
    <n v="76"/>
    <d v="2024-02-14T00:00:00"/>
    <s v="Mrs. Kristina Boyd"/>
    <s v="Jeans"/>
    <x v="1"/>
    <n v="1"/>
    <n v="394.26"/>
    <n v="394.26"/>
    <n v="39.43"/>
    <n v="433.69"/>
  </r>
  <r>
    <n v="491"/>
    <d v="2024-04-28T00:00:00"/>
    <s v="Peter Walker"/>
    <s v="Jeans"/>
    <x v="1"/>
    <n v="1"/>
    <n v="392.86"/>
    <n v="392.86"/>
    <n v="39.29"/>
    <n v="432.15"/>
  </r>
  <r>
    <n v="368"/>
    <d v="2024-07-30T00:00:00"/>
    <s v="Nancy Allen"/>
    <s v="Bread"/>
    <x v="3"/>
    <n v="2"/>
    <n v="196.41"/>
    <n v="392.82"/>
    <n v="39.28"/>
    <n v="432.1"/>
  </r>
  <r>
    <n v="84"/>
    <d v="2024-04-10T00:00:00"/>
    <s v="Robert Ellis"/>
    <s v="Doll"/>
    <x v="2"/>
    <n v="1"/>
    <n v="392.74"/>
    <n v="392.74"/>
    <n v="39.270000000000003"/>
    <n v="432.01"/>
  </r>
  <r>
    <n v="397"/>
    <d v="2024-05-12T00:00:00"/>
    <s v="Vanessa Nguyen"/>
    <s v="Milk"/>
    <x v="3"/>
    <n v="1"/>
    <n v="392.63"/>
    <n v="392.63"/>
    <n v="39.26"/>
    <n v="431.89"/>
  </r>
  <r>
    <n v="105"/>
    <d v="2024-04-14T00:00:00"/>
    <s v="Michael Murphy"/>
    <s v="Bread"/>
    <x v="3"/>
    <n v="2"/>
    <n v="195.24"/>
    <n v="390.48"/>
    <n v="39.049999999999997"/>
    <n v="429.53"/>
  </r>
  <r>
    <n v="132"/>
    <d v="2024-10-24T00:00:00"/>
    <s v="William Alvarado"/>
    <s v="Sofa"/>
    <x v="0"/>
    <n v="4"/>
    <n v="96.55"/>
    <n v="386.2"/>
    <n v="38.619999999999997"/>
    <n v="424.82"/>
  </r>
  <r>
    <n v="272"/>
    <d v="2024-05-09T00:00:00"/>
    <s v="Christina Smith"/>
    <s v="Bread"/>
    <x v="3"/>
    <n v="1"/>
    <n v="383.22"/>
    <n v="383.22"/>
    <n v="38.32"/>
    <n v="421.54"/>
  </r>
  <r>
    <n v="51"/>
    <d v="2024-07-24T00:00:00"/>
    <s v="Jessica Sandoval"/>
    <s v="Smartwatch"/>
    <x v="4"/>
    <n v="10"/>
    <n v="38.28"/>
    <n v="382.8"/>
    <n v="38.28"/>
    <n v="421.08"/>
  </r>
  <r>
    <n v="78"/>
    <d v="2024-07-11T00:00:00"/>
    <s v="Christine Martin"/>
    <s v="Desk"/>
    <x v="0"/>
    <n v="2"/>
    <n v="190.5"/>
    <n v="381"/>
    <n v="38.1"/>
    <n v="419.1"/>
  </r>
  <r>
    <n v="177"/>
    <d v="2024-11-26T00:00:00"/>
    <s v="Megan Sanchez"/>
    <s v="Puzzle"/>
    <x v="2"/>
    <n v="1"/>
    <n v="374.54"/>
    <n v="374.54"/>
    <n v="37.450000000000003"/>
    <n v="411.99"/>
  </r>
  <r>
    <n v="97"/>
    <d v="2024-07-28T00:00:00"/>
    <s v="Mary Wu"/>
    <s v="Dining Table"/>
    <x v="0"/>
    <n v="5"/>
    <n v="72.44"/>
    <n v="362.2"/>
    <n v="36.22"/>
    <n v="398.42"/>
  </r>
  <r>
    <n v="400"/>
    <d v="2024-03-14T00:00:00"/>
    <s v="Janet Smith"/>
    <s v="T-Shirt"/>
    <x v="1"/>
    <n v="10"/>
    <n v="36.22"/>
    <n v="362.2"/>
    <n v="36.22"/>
    <n v="398.42"/>
  </r>
  <r>
    <n v="335"/>
    <d v="2024-10-18T00:00:00"/>
    <s v="Christopher Pollard"/>
    <s v="Bookshelf"/>
    <x v="0"/>
    <n v="5"/>
    <n v="72.39"/>
    <n v="361.95"/>
    <n v="36.200000000000003"/>
    <n v="398.15"/>
  </r>
  <r>
    <n v="98"/>
    <d v="2025-01-23T00:00:00"/>
    <s v="Marc Davis"/>
    <s v="Smartphone"/>
    <x v="4"/>
    <n v="2"/>
    <n v="180.81"/>
    <n v="361.62"/>
    <n v="36.159999999999997"/>
    <n v="397.78"/>
  </r>
  <r>
    <n v="242"/>
    <d v="2024-10-23T00:00:00"/>
    <s v="Jason Gonzalez"/>
    <s v="Jacket"/>
    <x v="1"/>
    <n v="8"/>
    <n v="44.03"/>
    <n v="352.24"/>
    <n v="35.22"/>
    <n v="387.46"/>
  </r>
  <r>
    <n v="193"/>
    <d v="2024-08-01T00:00:00"/>
    <s v="Kristin Castillo"/>
    <s v="Board Game"/>
    <x v="2"/>
    <n v="2"/>
    <n v="174.22"/>
    <n v="348.44"/>
    <n v="34.840000000000003"/>
    <n v="383.28"/>
  </r>
  <r>
    <n v="323"/>
    <d v="2024-05-25T00:00:00"/>
    <s v="Erika Tran"/>
    <s v="Fruits"/>
    <x v="3"/>
    <n v="7"/>
    <n v="49.34"/>
    <n v="345.38"/>
    <n v="34.54"/>
    <n v="379.92"/>
  </r>
  <r>
    <n v="216"/>
    <d v="2024-03-07T00:00:00"/>
    <s v="Katrina Beard"/>
    <s v="Action Figure"/>
    <x v="2"/>
    <n v="4"/>
    <n v="86.18"/>
    <n v="344.72"/>
    <n v="34.47"/>
    <n v="379.19"/>
  </r>
  <r>
    <n v="120"/>
    <d v="2024-10-07T00:00:00"/>
    <s v="Thomas Johnson"/>
    <s v="Desk"/>
    <x v="0"/>
    <n v="4"/>
    <n v="84.82"/>
    <n v="339.28"/>
    <n v="33.93"/>
    <n v="373.21"/>
  </r>
  <r>
    <n v="314"/>
    <d v="2024-09-29T00:00:00"/>
    <s v="Christopher Anderson"/>
    <s v="Sofa"/>
    <x v="0"/>
    <n v="6"/>
    <n v="55.89"/>
    <n v="335.34"/>
    <n v="33.53"/>
    <n v="368.87"/>
  </r>
  <r>
    <n v="499"/>
    <d v="2024-07-30T00:00:00"/>
    <s v="Philip Wood"/>
    <s v="Smartphone"/>
    <x v="4"/>
    <n v="3"/>
    <n v="111.7"/>
    <n v="335.1"/>
    <n v="33.51"/>
    <n v="368.61"/>
  </r>
  <r>
    <n v="181"/>
    <d v="2024-02-05T00:00:00"/>
    <s v="Ann Thomas"/>
    <s v="Laptop"/>
    <x v="4"/>
    <n v="6"/>
    <n v="54.5"/>
    <n v="327"/>
    <n v="32.700000000000003"/>
    <n v="359.7"/>
  </r>
  <r>
    <n v="471"/>
    <d v="2024-04-21T00:00:00"/>
    <s v="John Miranda"/>
    <s v="Sofa"/>
    <x v="0"/>
    <n v="1"/>
    <n v="326.26"/>
    <n v="326.26"/>
    <n v="32.630000000000003"/>
    <n v="358.89"/>
  </r>
  <r>
    <n v="103"/>
    <d v="2024-12-09T00:00:00"/>
    <s v="Wendy Robinson"/>
    <s v="Shoes"/>
    <x v="1"/>
    <n v="9"/>
    <n v="36.11"/>
    <n v="324.99"/>
    <n v="32.5"/>
    <n v="357.49"/>
  </r>
  <r>
    <n v="337"/>
    <d v="2024-10-28T00:00:00"/>
    <s v="Brianna Jordan"/>
    <s v="Laptop"/>
    <x v="4"/>
    <n v="5"/>
    <n v="64.510000000000005"/>
    <n v="322.55"/>
    <n v="32.26"/>
    <n v="354.81"/>
  </r>
  <r>
    <n v="20"/>
    <d v="2024-08-18T00:00:00"/>
    <s v="Matthew Benson"/>
    <s v="Jacket"/>
    <x v="1"/>
    <n v="7"/>
    <n v="45.9"/>
    <n v="321.3"/>
    <n v="32.130000000000003"/>
    <n v="353.43"/>
  </r>
  <r>
    <n v="104"/>
    <d v="2024-12-20T00:00:00"/>
    <s v="Richard Miller"/>
    <s v="Doll"/>
    <x v="2"/>
    <n v="6"/>
    <n v="53.45"/>
    <n v="320.7"/>
    <n v="32.07"/>
    <n v="352.77"/>
  </r>
  <r>
    <n v="15"/>
    <d v="2024-03-07T00:00:00"/>
    <s v="David Marshall"/>
    <s v="Desk"/>
    <x v="0"/>
    <n v="3"/>
    <n v="105.7"/>
    <n v="317.10000000000002"/>
    <n v="31.71"/>
    <n v="348.81"/>
  </r>
  <r>
    <n v="206"/>
    <d v="2024-10-13T00:00:00"/>
    <s v="David Rocha"/>
    <s v="Bookshelf"/>
    <x v="0"/>
    <n v="7"/>
    <n v="44.5"/>
    <n v="311.5"/>
    <n v="31.15"/>
    <n v="342.65"/>
  </r>
  <r>
    <n v="315"/>
    <d v="2024-09-19T00:00:00"/>
    <s v="Daniel Garcia"/>
    <s v="Sofa"/>
    <x v="0"/>
    <n v="4"/>
    <n v="76.180000000000007"/>
    <n v="304.72000000000003"/>
    <n v="30.47"/>
    <n v="335.19"/>
  </r>
  <r>
    <n v="316"/>
    <d v="2024-07-17T00:00:00"/>
    <s v="Jessica Adkins"/>
    <s v="Sweater"/>
    <x v="1"/>
    <n v="3"/>
    <n v="100.36"/>
    <n v="301.08"/>
    <n v="30.11"/>
    <n v="331.19"/>
  </r>
  <r>
    <n v="60"/>
    <d v="2024-04-19T00:00:00"/>
    <s v="Donna Cooper"/>
    <s v="Shoes"/>
    <x v="1"/>
    <n v="1"/>
    <n v="298.47000000000003"/>
    <n v="298.47000000000003"/>
    <n v="29.85"/>
    <n v="328.32"/>
  </r>
  <r>
    <n v="264"/>
    <d v="2024-04-15T00:00:00"/>
    <s v="Edward Harris"/>
    <s v="Sweater"/>
    <x v="1"/>
    <n v="1"/>
    <n v="279.47000000000003"/>
    <n v="279.47000000000003"/>
    <n v="27.95"/>
    <n v="307.42"/>
  </r>
  <r>
    <n v="259"/>
    <d v="2024-12-17T00:00:00"/>
    <s v="Bernard Johnson"/>
    <s v="Doll"/>
    <x v="2"/>
    <n v="6"/>
    <n v="44.25"/>
    <n v="265.5"/>
    <n v="26.55"/>
    <n v="292.05"/>
  </r>
  <r>
    <n v="42"/>
    <d v="2024-06-08T00:00:00"/>
    <s v="Thomas Walker"/>
    <s v="Sweater"/>
    <x v="1"/>
    <n v="3"/>
    <n v="88.15"/>
    <n v="264.45"/>
    <n v="26.45"/>
    <n v="290.89999999999998"/>
  </r>
  <r>
    <n v="484"/>
    <d v="2024-11-24T00:00:00"/>
    <s v="Lisa Thomas"/>
    <s v="Smartwatch"/>
    <x v="4"/>
    <n v="1"/>
    <n v="264.24"/>
    <n v="264.24"/>
    <n v="26.42"/>
    <n v="290.66000000000003"/>
  </r>
  <r>
    <n v="117"/>
    <d v="2024-11-20T00:00:00"/>
    <s v="Zachary Harper"/>
    <s v="Sofa"/>
    <x v="0"/>
    <n v="4"/>
    <n v="64.92"/>
    <n v="259.68"/>
    <n v="25.97"/>
    <n v="285.64999999999998"/>
  </r>
  <r>
    <n v="358"/>
    <d v="2024-06-02T00:00:00"/>
    <s v="Jonathan Tran"/>
    <s v="Board Game"/>
    <x v="2"/>
    <n v="1"/>
    <n v="257.37"/>
    <n v="257.37"/>
    <n v="25.74"/>
    <n v="283.11"/>
  </r>
  <r>
    <n v="1"/>
    <d v="2024-03-19T00:00:00"/>
    <s v="Teresa Vang"/>
    <s v="Jacket"/>
    <x v="1"/>
    <n v="1"/>
    <n v="255.16"/>
    <n v="255.16"/>
    <n v="25.52"/>
    <n v="280.68"/>
  </r>
  <r>
    <n v="289"/>
    <d v="2024-02-15T00:00:00"/>
    <s v="Shawn Mccarty"/>
    <s v="Bread"/>
    <x v="3"/>
    <n v="1"/>
    <n v="251.65"/>
    <n v="251.65"/>
    <n v="25.17"/>
    <n v="276.82"/>
  </r>
  <r>
    <n v="82"/>
    <d v="2025-01-28T00:00:00"/>
    <s v="Lacey Ellis"/>
    <s v="Bookshelf"/>
    <x v="0"/>
    <n v="2"/>
    <n v="122.36"/>
    <n v="244.72"/>
    <n v="24.47"/>
    <n v="269.19"/>
  </r>
  <r>
    <n v="167"/>
    <d v="2025-01-20T00:00:00"/>
    <s v="Andrew Haley"/>
    <s v="Board Game"/>
    <x v="2"/>
    <n v="1"/>
    <n v="235.54"/>
    <n v="235.54"/>
    <n v="23.55"/>
    <n v="259.08999999999997"/>
  </r>
  <r>
    <n v="459"/>
    <d v="2024-04-27T00:00:00"/>
    <s v="Angela Smith"/>
    <s v="Desk"/>
    <x v="0"/>
    <n v="8"/>
    <n v="28.92"/>
    <n v="231.36"/>
    <n v="23.14"/>
    <n v="254.5"/>
  </r>
  <r>
    <n v="21"/>
    <d v="2024-12-14T00:00:00"/>
    <s v="Sara Bailey"/>
    <s v="Shoes"/>
    <x v="1"/>
    <n v="4"/>
    <n v="57.78"/>
    <n v="231.12"/>
    <n v="23.11"/>
    <n v="254.23"/>
  </r>
  <r>
    <n v="33"/>
    <d v="2024-07-18T00:00:00"/>
    <s v="Kristin Washington"/>
    <s v="Dining Table"/>
    <x v="0"/>
    <n v="1"/>
    <n v="229.92"/>
    <n v="229.92"/>
    <n v="22.99"/>
    <n v="252.91"/>
  </r>
  <r>
    <n v="483"/>
    <d v="2024-06-08T00:00:00"/>
    <s v="Kimberly Clarke"/>
    <s v="Doll"/>
    <x v="2"/>
    <n v="1"/>
    <n v="227.27"/>
    <n v="227.27"/>
    <n v="22.73"/>
    <n v="250"/>
  </r>
  <r>
    <n v="434"/>
    <d v="2024-10-27T00:00:00"/>
    <s v="Miguel Christian"/>
    <s v="Smartwatch"/>
    <x v="4"/>
    <n v="2"/>
    <n v="112.66"/>
    <n v="225.32"/>
    <n v="22.53"/>
    <n v="247.85"/>
  </r>
  <r>
    <n v="454"/>
    <d v="2024-04-12T00:00:00"/>
    <s v="Maria Buchanan"/>
    <s v="Puzzle"/>
    <x v="2"/>
    <n v="9"/>
    <n v="24.77"/>
    <n v="222.93"/>
    <n v="22.29"/>
    <n v="245.22"/>
  </r>
  <r>
    <n v="253"/>
    <d v="2024-06-20T00:00:00"/>
    <s v="Brandi Christensen"/>
    <s v="Office Chair"/>
    <x v="0"/>
    <n v="2"/>
    <n v="110.32"/>
    <n v="220.64"/>
    <n v="22.06"/>
    <n v="242.7"/>
  </r>
  <r>
    <n v="382"/>
    <d v="2024-05-07T00:00:00"/>
    <s v="James Obrien"/>
    <s v="Bookshelf"/>
    <x v="0"/>
    <n v="2"/>
    <n v="108.27"/>
    <n v="216.54"/>
    <n v="21.65"/>
    <n v="238.19"/>
  </r>
  <r>
    <n v="431"/>
    <d v="2024-03-26T00:00:00"/>
    <s v="Katherine Anderson"/>
    <s v="Smartphone"/>
    <x v="4"/>
    <n v="3"/>
    <n v="71.31"/>
    <n v="213.93"/>
    <n v="21.39"/>
    <n v="235.32"/>
  </r>
  <r>
    <n v="271"/>
    <d v="2024-06-20T00:00:00"/>
    <s v="Raymond Lewis"/>
    <s v="Jeans"/>
    <x v="1"/>
    <n v="2"/>
    <n v="106.56"/>
    <n v="213.12"/>
    <n v="21.31"/>
    <n v="234.43"/>
  </r>
  <r>
    <n v="160"/>
    <d v="2024-08-24T00:00:00"/>
    <s v="Kelly Scott"/>
    <s v="Lego Set"/>
    <x v="2"/>
    <n v="2"/>
    <n v="106.02"/>
    <n v="212.04"/>
    <n v="21.2"/>
    <n v="233.24"/>
  </r>
  <r>
    <n v="143"/>
    <d v="2024-11-01T00:00:00"/>
    <s v="James Hayes"/>
    <s v="Lego Set"/>
    <x v="2"/>
    <n v="8"/>
    <n v="25.85"/>
    <n v="206.8"/>
    <n v="20.68"/>
    <n v="227.48"/>
  </r>
  <r>
    <n v="436"/>
    <d v="2024-04-07T00:00:00"/>
    <s v="Matthew Lee"/>
    <s v="Milk"/>
    <x v="3"/>
    <n v="6"/>
    <n v="33.97"/>
    <n v="203.82"/>
    <n v="20.38"/>
    <n v="224.2"/>
  </r>
  <r>
    <n v="58"/>
    <d v="2024-05-13T00:00:00"/>
    <s v="Emily Martin"/>
    <s v="Doll"/>
    <x v="2"/>
    <n v="3"/>
    <n v="67.73"/>
    <n v="203.19"/>
    <n v="20.32"/>
    <n v="223.51"/>
  </r>
  <r>
    <n v="301"/>
    <d v="2024-07-24T00:00:00"/>
    <s v="Mrs. Brianna Gonzales DDS"/>
    <s v="Fruits"/>
    <x v="3"/>
    <n v="4"/>
    <n v="47.24"/>
    <n v="188.96"/>
    <n v="18.899999999999999"/>
    <n v="207.86"/>
  </r>
  <r>
    <n v="406"/>
    <d v="2024-02-15T00:00:00"/>
    <s v="Isaiah Sanford"/>
    <s v="Board Game"/>
    <x v="2"/>
    <n v="1"/>
    <n v="178.77"/>
    <n v="178.77"/>
    <n v="17.88"/>
    <n v="196.65"/>
  </r>
  <r>
    <n v="31"/>
    <d v="2024-05-06T00:00:00"/>
    <s v="Mr. Brian Becker"/>
    <s v="Vegetables"/>
    <x v="3"/>
    <n v="9"/>
    <n v="19.73"/>
    <n v="177.57"/>
    <n v="17.760000000000002"/>
    <n v="195.33"/>
  </r>
  <r>
    <n v="347"/>
    <d v="2024-04-18T00:00:00"/>
    <s v="Lauren Schwartz"/>
    <s v="Smartphone"/>
    <x v="4"/>
    <n v="4"/>
    <n v="43.1"/>
    <n v="172.4"/>
    <n v="17.239999999999998"/>
    <n v="189.64"/>
  </r>
  <r>
    <n v="32"/>
    <d v="2024-11-17T00:00:00"/>
    <s v="Ryan Swanson"/>
    <s v="Bookshelf"/>
    <x v="0"/>
    <n v="1"/>
    <n v="171.09"/>
    <n v="171.09"/>
    <n v="17.11"/>
    <n v="188.2"/>
  </r>
  <r>
    <n v="189"/>
    <d v="2024-09-15T00:00:00"/>
    <s v="Marie Holland"/>
    <s v="Smartwatch"/>
    <x v="4"/>
    <n v="1"/>
    <n v="160.19999999999999"/>
    <n v="160.19999999999999"/>
    <n v="16.02"/>
    <n v="176.22"/>
  </r>
  <r>
    <n v="230"/>
    <d v="2024-10-18T00:00:00"/>
    <s v="Joseph Marks"/>
    <s v="Tablet"/>
    <x v="4"/>
    <n v="4"/>
    <n v="39.729999999999997"/>
    <n v="158.91999999999999"/>
    <n v="15.89"/>
    <n v="174.81"/>
  </r>
  <r>
    <n v="424"/>
    <d v="2024-10-14T00:00:00"/>
    <s v="Jennifer Espinoza"/>
    <s v="Fruits"/>
    <x v="3"/>
    <n v="2"/>
    <n v="78.489999999999995"/>
    <n v="156.97999999999999"/>
    <n v="15.7"/>
    <n v="172.68"/>
  </r>
  <r>
    <n v="77"/>
    <d v="2024-12-13T00:00:00"/>
    <s v="Andrea Ayala"/>
    <s v="Office Chair"/>
    <x v="0"/>
    <n v="1"/>
    <n v="153.06"/>
    <n v="153.06"/>
    <n v="15.31"/>
    <n v="168.37"/>
  </r>
  <r>
    <n v="250"/>
    <d v="2024-05-25T00:00:00"/>
    <s v="Ronald Turner"/>
    <s v="T-Shirt"/>
    <x v="1"/>
    <n v="8"/>
    <n v="19.059999999999999"/>
    <n v="152.47999999999999"/>
    <n v="15.25"/>
    <n v="167.73"/>
  </r>
  <r>
    <n v="80"/>
    <d v="2024-04-12T00:00:00"/>
    <s v="Katherine Castro"/>
    <s v="Bread"/>
    <x v="3"/>
    <n v="7"/>
    <n v="19.920000000000002"/>
    <n v="139.44"/>
    <n v="13.94"/>
    <n v="153.38"/>
  </r>
  <r>
    <n v="267"/>
    <d v="2024-07-03T00:00:00"/>
    <s v="Tammy Brock"/>
    <s v="Sweater"/>
    <x v="1"/>
    <n v="2"/>
    <n v="69.150000000000006"/>
    <n v="138.30000000000001"/>
    <n v="13.83"/>
    <n v="152.13"/>
  </r>
  <r>
    <n v="118"/>
    <d v="2024-12-17T00:00:00"/>
    <s v="Brittany Thompson"/>
    <s v="Vegetables"/>
    <x v="3"/>
    <n v="1"/>
    <n v="138.16999999999999"/>
    <n v="138.16999999999999"/>
    <n v="13.82"/>
    <n v="151.99"/>
  </r>
  <r>
    <n v="371"/>
    <d v="2024-04-08T00:00:00"/>
    <s v="Shawn Copeland"/>
    <s v="Board Game"/>
    <x v="2"/>
    <n v="6"/>
    <n v="23.01"/>
    <n v="138.06"/>
    <n v="13.81"/>
    <n v="151.87"/>
  </r>
  <r>
    <n v="142"/>
    <d v="2024-05-01T00:00:00"/>
    <s v="Alexander Barker"/>
    <s v="Shoes"/>
    <x v="1"/>
    <n v="1"/>
    <n v="136.88999999999999"/>
    <n v="136.88999999999999"/>
    <n v="13.69"/>
    <n v="150.58000000000001"/>
  </r>
  <r>
    <n v="408"/>
    <d v="2024-11-30T00:00:00"/>
    <s v="Heather Pruitt"/>
    <s v="Milk"/>
    <x v="3"/>
    <n v="2"/>
    <n v="53.82"/>
    <n v="107.64"/>
    <n v="10.76"/>
    <n v="118.4"/>
  </r>
  <r>
    <n v="450"/>
    <d v="2024-10-29T00:00:00"/>
    <s v="Kevin Tapia"/>
    <s v="Board Game"/>
    <x v="2"/>
    <n v="2"/>
    <n v="50.99"/>
    <n v="101.98"/>
    <n v="10.199999999999999"/>
    <n v="112.18"/>
  </r>
  <r>
    <n v="227"/>
    <d v="2024-11-09T00:00:00"/>
    <s v="Melissa Mcguire"/>
    <s v="Smartphone"/>
    <x v="4"/>
    <n v="5"/>
    <n v="20.27"/>
    <n v="101.35"/>
    <n v="10.130000000000001"/>
    <n v="111.48"/>
  </r>
  <r>
    <n v="399"/>
    <d v="2024-04-26T00:00:00"/>
    <s v="Kathleen Miller"/>
    <s v="Tablet"/>
    <x v="4"/>
    <n v="4"/>
    <n v="24.93"/>
    <n v="99.72"/>
    <n v="9.9700000000000006"/>
    <n v="109.69"/>
  </r>
  <r>
    <n v="195"/>
    <d v="2024-09-30T00:00:00"/>
    <s v="Bailey Glover"/>
    <s v="Puzzle"/>
    <x v="2"/>
    <n v="7"/>
    <n v="13.93"/>
    <n v="97.51"/>
    <n v="9.75"/>
    <n v="107.26"/>
  </r>
  <r>
    <n v="415"/>
    <d v="2024-07-07T00:00:00"/>
    <s v="Emily Hall"/>
    <s v="Bookshelf"/>
    <x v="0"/>
    <n v="2"/>
    <n v="48.54"/>
    <n v="97.08"/>
    <n v="9.7100000000000009"/>
    <n v="106.79"/>
  </r>
  <r>
    <n v="233"/>
    <d v="2024-04-13T00:00:00"/>
    <s v="Noah Barrett"/>
    <s v="Bookshelf"/>
    <x v="0"/>
    <n v="7"/>
    <n v="12.82"/>
    <n v="89.74"/>
    <n v="8.9700000000000006"/>
    <n v="98.71"/>
  </r>
  <r>
    <n v="219"/>
    <d v="2024-03-07T00:00:00"/>
    <s v="Jennifer Davis"/>
    <s v="Headphones"/>
    <x v="4"/>
    <n v="3"/>
    <n v="28.64"/>
    <n v="85.92"/>
    <n v="8.59"/>
    <n v="94.51"/>
  </r>
  <r>
    <n v="448"/>
    <d v="2024-07-27T00:00:00"/>
    <s v="Rebecca Moore"/>
    <s v="Dining Table"/>
    <x v="0"/>
    <n v="5"/>
    <n v="16.48"/>
    <n v="82.4"/>
    <n v="8.24"/>
    <n v="90.64"/>
  </r>
  <r>
    <n v="318"/>
    <d v="2024-02-18T00:00:00"/>
    <s v="Maria Hernandez"/>
    <s v="Action Figure"/>
    <x v="2"/>
    <n v="10"/>
    <n v="7.93"/>
    <n v="79.3"/>
    <n v="7.93"/>
    <n v="87.23"/>
  </r>
  <r>
    <n v="435"/>
    <d v="2024-06-25T00:00:00"/>
    <s v="Kimberly Lindsey"/>
    <s v="Action Figure"/>
    <x v="2"/>
    <n v="1"/>
    <n v="77.36"/>
    <n v="77.36"/>
    <n v="7.74"/>
    <n v="85.1"/>
  </r>
  <r>
    <n v="385"/>
    <d v="2024-07-15T00:00:00"/>
    <s v="Todd Collins"/>
    <s v="Fruits"/>
    <x v="3"/>
    <n v="2"/>
    <n v="38.630000000000003"/>
    <n v="77.260000000000005"/>
    <n v="7.73"/>
    <n v="84.99"/>
  </r>
  <r>
    <n v="191"/>
    <d v="2024-08-26T00:00:00"/>
    <s v="Terry Gregory"/>
    <s v="Sweater"/>
    <x v="1"/>
    <n v="1"/>
    <n v="76.91"/>
    <n v="76.91"/>
    <n v="7.69"/>
    <n v="84.6"/>
  </r>
  <r>
    <n v="456"/>
    <d v="2024-08-06T00:00:00"/>
    <s v="Eric Horne"/>
    <s v="Puzzle"/>
    <x v="2"/>
    <n v="6"/>
    <n v="12.45"/>
    <n v="74.7"/>
    <n v="7.47"/>
    <n v="82.17"/>
  </r>
  <r>
    <n v="212"/>
    <d v="2024-02-21T00:00:00"/>
    <s v="Allen Bishop"/>
    <s v="Sofa"/>
    <x v="0"/>
    <n v="5"/>
    <n v="14.59"/>
    <n v="72.95"/>
    <n v="7.3"/>
    <n v="80.25"/>
  </r>
  <r>
    <n v="94"/>
    <d v="2024-07-13T00:00:00"/>
    <s v="Daniel Richardson"/>
    <s v="Action Figure"/>
    <x v="2"/>
    <n v="2"/>
    <n v="35.729999999999997"/>
    <n v="71.459999999999994"/>
    <n v="7.15"/>
    <n v="78.61"/>
  </r>
  <r>
    <n v="339"/>
    <d v="2024-12-05T00:00:00"/>
    <s v="Heidi Warren"/>
    <s v="Desk"/>
    <x v="0"/>
    <n v="2"/>
    <n v="34.6"/>
    <n v="69.2"/>
    <n v="6.92"/>
    <n v="76.12"/>
  </r>
  <r>
    <n v="79"/>
    <d v="2024-11-19T00:00:00"/>
    <s v="Michael Chambers"/>
    <s v="Smartwatch"/>
    <x v="4"/>
    <n v="4"/>
    <n v="16.2"/>
    <n v="64.8"/>
    <n v="6.48"/>
    <n v="71.28"/>
  </r>
  <r>
    <n v="237"/>
    <d v="2024-02-10T00:00:00"/>
    <s v="Sierra Ball"/>
    <s v="Laptop"/>
    <x v="4"/>
    <n v="9"/>
    <n v="7.09"/>
    <n v="63.81"/>
    <n v="6.38"/>
    <n v="70.19"/>
  </r>
  <r>
    <n v="30"/>
    <d v="2024-07-21T00:00:00"/>
    <s v="Jay Wilkerson"/>
    <s v="Eggs"/>
    <x v="3"/>
    <n v="5"/>
    <n v="12.14"/>
    <n v="60.7"/>
    <n v="6.07"/>
    <n v="66.77"/>
  </r>
  <r>
    <n v="70"/>
    <d v="2024-09-06T00:00:00"/>
    <s v="Wendy Torres"/>
    <s v="Vegetables"/>
    <x v="3"/>
    <n v="1"/>
    <n v="55.44"/>
    <n v="55.44"/>
    <n v="5.54"/>
    <n v="60.98"/>
  </r>
  <r>
    <n v="460"/>
    <d v="2024-03-16T00:00:00"/>
    <s v="Kaitlyn Maddox"/>
    <s v="Eggs"/>
    <x v="3"/>
    <n v="1"/>
    <n v="52.12"/>
    <n v="52.12"/>
    <n v="5.21"/>
    <n v="57.33"/>
  </r>
  <r>
    <n v="9"/>
    <d v="2024-03-31T00:00:00"/>
    <s v="Richard Robles"/>
    <s v="Milk"/>
    <x v="3"/>
    <n v="4"/>
    <n v="11.6"/>
    <n v="46.4"/>
    <n v="4.6399999999999997"/>
    <n v="51.04"/>
  </r>
  <r>
    <n v="64"/>
    <d v="2024-08-02T00:00:00"/>
    <s v="Patrick Chang"/>
    <s v="Headphones"/>
    <x v="4"/>
    <n v="3"/>
    <n v="14.59"/>
    <n v="43.77"/>
    <n v="4.38"/>
    <n v="48.15"/>
  </r>
  <r>
    <n v="305"/>
    <d v="2024-05-16T00:00:00"/>
    <s v="Richard Morgan"/>
    <s v="Milk"/>
    <x v="3"/>
    <n v="2"/>
    <n v="19.53"/>
    <n v="39.06"/>
    <n v="3.91"/>
    <n v="42.97"/>
  </r>
  <r>
    <n v="252"/>
    <d v="2024-04-07T00:00:00"/>
    <s v="Theresa Holland"/>
    <s v="Fruits"/>
    <x v="3"/>
    <n v="4"/>
    <n v="8.7899999999999991"/>
    <n v="35.159999999999997"/>
    <n v="3.52"/>
    <n v="38.68"/>
  </r>
  <r>
    <n v="258"/>
    <d v="2024-02-20T00:00:00"/>
    <s v="Alexander Wright"/>
    <s v="Bookshelf"/>
    <x v="0"/>
    <n v="2"/>
    <n v="16.82"/>
    <n v="33.64"/>
    <n v="3.36"/>
    <n v="37"/>
  </r>
  <r>
    <n v="139"/>
    <d v="2025-01-05T00:00:00"/>
    <s v="Olivia Morgan"/>
    <s v="Lego Set"/>
    <x v="2"/>
    <n v="2"/>
    <n v="16.21"/>
    <n v="32.42"/>
    <n v="3.24"/>
    <n v="35.659999999999997"/>
  </r>
  <r>
    <n v="333"/>
    <d v="2024-05-20T00:00:00"/>
    <s v="Robert Hayden"/>
    <s v="Shoes"/>
    <x v="1"/>
    <n v="1"/>
    <n v="28.28"/>
    <n v="28.28"/>
    <n v="2.83"/>
    <n v="31.11"/>
  </r>
  <r>
    <n v="266"/>
    <d v="2024-06-24T00:00:00"/>
    <s v="Andrew Johnson"/>
    <s v="Sofa"/>
    <x v="0"/>
    <n v="4"/>
    <n v="5.34"/>
    <n v="21.36"/>
    <n v="2.14"/>
    <n v="23.5"/>
  </r>
  <r>
    <n v="401"/>
    <d v="2024-11-11T00:00:00"/>
    <s v="Christopher Perkins"/>
    <s v="Smartwatch"/>
    <x v="4"/>
    <n v="1"/>
    <n v="8.58"/>
    <n v="8.58"/>
    <n v="0.86"/>
    <n v="9.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ADCDF5-BB81-4009-93CF-DEAC8E3DEB8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10">
    <pivotField showAll="0"/>
    <pivotField numFmtId="164" showAll="0"/>
    <pivotField showAll="0"/>
    <pivotField showAll="0"/>
    <pivotField axis="axisRow" showAll="0">
      <items count="6">
        <item x="1"/>
        <item x="4"/>
        <item x="0"/>
        <item x="3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7" baseField="0" baseItem="0"/>
  </dataFields>
  <chartFormats count="7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7B697-3285-40D1-B89A-A2F2CF4A0407}">
  <dimension ref="A3:B9"/>
  <sheetViews>
    <sheetView zoomScaleNormal="100" workbookViewId="0">
      <selection activeCell="K10" sqref="K10"/>
    </sheetView>
  </sheetViews>
  <sheetFormatPr defaultRowHeight="14.5" x14ac:dyDescent="0.35"/>
  <cols>
    <col min="1" max="1" width="12.36328125" bestFit="1" customWidth="1"/>
    <col min="2" max="2" width="16.08984375" bestFit="1" customWidth="1"/>
    <col min="3" max="3" width="18.453125" bestFit="1" customWidth="1"/>
  </cols>
  <sheetData>
    <row r="3" spans="1:2" x14ac:dyDescent="0.35">
      <c r="A3" s="4" t="s">
        <v>538</v>
      </c>
      <c r="B3" t="s">
        <v>540</v>
      </c>
    </row>
    <row r="4" spans="1:2" x14ac:dyDescent="0.35">
      <c r="A4" s="5" t="s">
        <v>533</v>
      </c>
      <c r="B4">
        <v>142793.44999999995</v>
      </c>
    </row>
    <row r="5" spans="1:2" x14ac:dyDescent="0.35">
      <c r="A5" s="5" t="s">
        <v>536</v>
      </c>
      <c r="B5">
        <v>129354.23000000004</v>
      </c>
    </row>
    <row r="6" spans="1:2" x14ac:dyDescent="0.35">
      <c r="A6" s="5" t="s">
        <v>534</v>
      </c>
      <c r="B6">
        <v>155485.09000000008</v>
      </c>
    </row>
    <row r="7" spans="1:2" x14ac:dyDescent="0.35">
      <c r="A7" s="5" t="s">
        <v>535</v>
      </c>
      <c r="B7">
        <v>141726.45000000013</v>
      </c>
    </row>
    <row r="8" spans="1:2" x14ac:dyDescent="0.35">
      <c r="A8" s="5" t="s">
        <v>537</v>
      </c>
      <c r="B8">
        <v>132513.16999999998</v>
      </c>
    </row>
    <row r="9" spans="1:2" x14ac:dyDescent="0.35">
      <c r="A9" s="5" t="s">
        <v>539</v>
      </c>
      <c r="B9">
        <v>701872.39000000013</v>
      </c>
    </row>
  </sheetData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1"/>
  <sheetViews>
    <sheetView showFormulas="1" tabSelected="1" topLeftCell="C1" zoomScaleNormal="100" workbookViewId="0">
      <selection activeCell="E5" sqref="E5"/>
    </sheetView>
  </sheetViews>
  <sheetFormatPr defaultColWidth="18.54296875" defaultRowHeight="14.5" x14ac:dyDescent="0.35"/>
  <cols>
    <col min="1" max="1" width="8" customWidth="1"/>
    <col min="2" max="2" width="10.08984375" bestFit="1" customWidth="1"/>
    <col min="3" max="3" width="15.1796875" customWidth="1"/>
    <col min="4" max="4" width="10.08984375" customWidth="1"/>
    <col min="5" max="5" width="12.81640625" bestFit="1" customWidth="1"/>
    <col min="6" max="6" width="6.08984375" bestFit="1" customWidth="1"/>
    <col min="7" max="7" width="6.36328125" bestFit="1" customWidth="1"/>
    <col min="8" max="8" width="7.36328125" bestFit="1" customWidth="1"/>
    <col min="9" max="9" width="6.36328125" bestFit="1" customWidth="1"/>
    <col min="10" max="10" width="7.36328125" bestFit="1" customWidth="1"/>
    <col min="11" max="11" width="7.81640625" bestFit="1" customWidth="1"/>
    <col min="12" max="12" width="22" bestFit="1" customWidth="1"/>
    <col min="13" max="13" width="9.90625" bestFit="1" customWidth="1"/>
    <col min="14" max="14" width="16" bestFit="1" customWidth="1"/>
    <col min="15" max="15" width="9.36328125" bestFit="1" customWidth="1"/>
    <col min="16" max="16" width="20.6328125" customWidth="1"/>
  </cols>
  <sheetData>
    <row r="1" spans="1:17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6" t="s">
        <v>541</v>
      </c>
      <c r="M1" s="8" t="s">
        <v>547</v>
      </c>
      <c r="N1" s="8" t="s">
        <v>548</v>
      </c>
      <c r="O1" s="8"/>
      <c r="P1" s="7"/>
      <c r="Q1" s="9"/>
    </row>
    <row r="2" spans="1:17" ht="29" x14ac:dyDescent="0.35">
      <c r="A2" s="2">
        <v>57</v>
      </c>
      <c r="B2" s="3">
        <v>45339</v>
      </c>
      <c r="C2" s="2" t="s">
        <v>66</v>
      </c>
      <c r="D2" s="2" t="s">
        <v>524</v>
      </c>
      <c r="E2" s="2" t="s">
        <v>534</v>
      </c>
      <c r="F2" s="2">
        <v>10</v>
      </c>
      <c r="G2" s="2">
        <v>487.1</v>
      </c>
      <c r="H2" s="2">
        <v>4871</v>
      </c>
      <c r="I2" s="2">
        <v>487.1</v>
      </c>
      <c r="J2" s="2">
        <v>5358.1</v>
      </c>
      <c r="K2">
        <f>F2*G2</f>
        <v>4871</v>
      </c>
      <c r="L2" s="7" t="s">
        <v>542</v>
      </c>
      <c r="M2" t="str">
        <f>IF(H2&gt;2500,"HIGH","LOW")</f>
        <v>HIGH</v>
      </c>
      <c r="N2" t="str">
        <f>IF(H2&gt;2500,"HIGH",IF(H2&lt;1000,"LOW","MEDIUM"))</f>
        <v>HIGH</v>
      </c>
    </row>
    <row r="3" spans="1:17" x14ac:dyDescent="0.35">
      <c r="A3" s="2">
        <v>256</v>
      </c>
      <c r="B3" s="3">
        <v>45568</v>
      </c>
      <c r="C3" s="2" t="s">
        <v>265</v>
      </c>
      <c r="D3" s="2" t="s">
        <v>531</v>
      </c>
      <c r="E3" s="2" t="s">
        <v>533</v>
      </c>
      <c r="F3" s="2">
        <v>10</v>
      </c>
      <c r="G3" s="2">
        <v>472.51</v>
      </c>
      <c r="H3" s="2">
        <v>4725.1000000000004</v>
      </c>
      <c r="I3" s="2">
        <v>472.51</v>
      </c>
      <c r="J3" s="2">
        <v>5197.6099999999997</v>
      </c>
      <c r="K3">
        <f>F3*G3</f>
        <v>4725.1000000000004</v>
      </c>
      <c r="L3">
        <f>SUM(K2:K501)</f>
        <v>701872.38999999978</v>
      </c>
      <c r="M3" t="str">
        <f>IF(H3&gt;2500,"HIGH","LOW")</f>
        <v>HIGH</v>
      </c>
      <c r="N3" t="str">
        <f>IF(H3&gt;2500,"HIGH",IF(H3&lt;1000,"LOW","MEDIUM"))</f>
        <v>HIGH</v>
      </c>
    </row>
    <row r="4" spans="1:17" ht="29" x14ac:dyDescent="0.35">
      <c r="A4" s="2">
        <v>85</v>
      </c>
      <c r="B4" s="3">
        <v>45408</v>
      </c>
      <c r="C4" s="2" t="s">
        <v>94</v>
      </c>
      <c r="D4" s="2" t="s">
        <v>517</v>
      </c>
      <c r="E4" s="2" t="s">
        <v>537</v>
      </c>
      <c r="F4" s="2">
        <v>10</v>
      </c>
      <c r="G4" s="2">
        <v>468.01</v>
      </c>
      <c r="H4" s="2">
        <v>4680.1000000000004</v>
      </c>
      <c r="I4" s="2">
        <v>468.01</v>
      </c>
      <c r="J4" s="2">
        <v>5148.1099999999997</v>
      </c>
      <c r="K4">
        <f>F4*G4</f>
        <v>4680.1000000000004</v>
      </c>
      <c r="L4" s="7" t="s">
        <v>543</v>
      </c>
      <c r="M4" t="str">
        <f>IF(H4&gt;2500,"HIGH","LOW")</f>
        <v>HIGH</v>
      </c>
      <c r="N4" t="str">
        <f>IF(H4&gt;2500,"HIGH",IF(H4&lt;1000,"LOW","MEDIUM"))</f>
        <v>HIGH</v>
      </c>
    </row>
    <row r="5" spans="1:17" x14ac:dyDescent="0.35">
      <c r="A5" s="2">
        <v>482</v>
      </c>
      <c r="B5" s="3">
        <v>45488</v>
      </c>
      <c r="C5" s="2" t="s">
        <v>489</v>
      </c>
      <c r="D5" s="2" t="s">
        <v>531</v>
      </c>
      <c r="E5" s="2" t="s">
        <v>533</v>
      </c>
      <c r="F5" s="2">
        <v>9</v>
      </c>
      <c r="G5" s="2">
        <v>499.18</v>
      </c>
      <c r="H5" s="2">
        <v>4492.62</v>
      </c>
      <c r="I5" s="2">
        <v>449.26</v>
      </c>
      <c r="J5" s="2">
        <v>4941.88</v>
      </c>
      <c r="K5">
        <f>F5*G5</f>
        <v>4492.62</v>
      </c>
      <c r="L5">
        <f>COUNTIF(K2:K501,"&gt;1000")</f>
        <v>270</v>
      </c>
      <c r="M5" t="str">
        <f>IF(H5&gt;2500,"HIGH","LOW")</f>
        <v>HIGH</v>
      </c>
      <c r="N5" t="str">
        <f>IF(H5&gt;2500,"HIGH",IF(H5&lt;1000,"LOW","MEDIUM"))</f>
        <v>HIGH</v>
      </c>
    </row>
    <row r="6" spans="1:17" ht="29" x14ac:dyDescent="0.35">
      <c r="A6" s="2">
        <v>35</v>
      </c>
      <c r="B6" s="3">
        <v>45330</v>
      </c>
      <c r="C6" s="2" t="s">
        <v>44</v>
      </c>
      <c r="D6" s="2" t="s">
        <v>525</v>
      </c>
      <c r="E6" s="2" t="s">
        <v>535</v>
      </c>
      <c r="F6" s="2">
        <v>10</v>
      </c>
      <c r="G6" s="2">
        <v>445.76</v>
      </c>
      <c r="H6" s="2">
        <v>4457.6000000000004</v>
      </c>
      <c r="I6" s="2">
        <v>445.76</v>
      </c>
      <c r="J6" s="2">
        <v>4903.3599999999997</v>
      </c>
      <c r="K6">
        <f>F6*G6</f>
        <v>4457.6000000000004</v>
      </c>
      <c r="M6" t="str">
        <f>IF(H6&gt;2500,"HIGH","LOW")</f>
        <v>HIGH</v>
      </c>
      <c r="N6" t="str">
        <f>IF(H6&gt;2500,"HIGH",IF(H6&lt;1000,"LOW","MEDIUM"))</f>
        <v>HIGH</v>
      </c>
    </row>
    <row r="7" spans="1:17" ht="29" x14ac:dyDescent="0.35">
      <c r="A7" s="2">
        <v>71</v>
      </c>
      <c r="B7" s="3">
        <v>45424</v>
      </c>
      <c r="C7" s="2" t="s">
        <v>80</v>
      </c>
      <c r="D7" s="2" t="s">
        <v>515</v>
      </c>
      <c r="E7" s="2" t="s">
        <v>536</v>
      </c>
      <c r="F7" s="2">
        <v>9</v>
      </c>
      <c r="G7" s="2">
        <v>494.71</v>
      </c>
      <c r="H7" s="2">
        <v>4452.3900000000003</v>
      </c>
      <c r="I7" s="2">
        <v>445.24</v>
      </c>
      <c r="J7" s="2">
        <v>4897.63</v>
      </c>
      <c r="K7">
        <f>F7*G7</f>
        <v>4452.3899999999994</v>
      </c>
      <c r="L7" s="7" t="s">
        <v>544</v>
      </c>
      <c r="M7" t="str">
        <f>IF(H7&gt;2500,"HIGH","LOW")</f>
        <v>HIGH</v>
      </c>
      <c r="N7" t="str">
        <f>IF(H7&gt;2500,"HIGH",IF(H7&lt;1000,"LOW","MEDIUM"))</f>
        <v>HIGH</v>
      </c>
    </row>
    <row r="8" spans="1:17" ht="29" x14ac:dyDescent="0.35">
      <c r="A8" s="2">
        <v>366</v>
      </c>
      <c r="B8" s="3">
        <v>45410</v>
      </c>
      <c r="C8" s="2" t="s">
        <v>373</v>
      </c>
      <c r="D8" s="2" t="s">
        <v>527</v>
      </c>
      <c r="E8" s="2" t="s">
        <v>536</v>
      </c>
      <c r="F8" s="2">
        <v>9</v>
      </c>
      <c r="G8" s="2">
        <v>494.18</v>
      </c>
      <c r="H8" s="2">
        <v>4447.62</v>
      </c>
      <c r="I8" s="2">
        <v>444.76</v>
      </c>
      <c r="J8" s="2">
        <v>4892.38</v>
      </c>
      <c r="K8">
        <f>F8*G8</f>
        <v>4447.62</v>
      </c>
      <c r="L8" s="10" t="s">
        <v>531</v>
      </c>
      <c r="M8" t="str">
        <f>IF(H8&gt;2500,"HIGH","LOW")</f>
        <v>HIGH</v>
      </c>
      <c r="N8" t="str">
        <f>IF(H8&gt;2500,"HIGH",IF(H8&lt;1000,"LOW","MEDIUM"))</f>
        <v>HIGH</v>
      </c>
    </row>
    <row r="9" spans="1:17" ht="29" x14ac:dyDescent="0.35">
      <c r="A9" s="2">
        <v>461</v>
      </c>
      <c r="B9" s="3">
        <v>45451</v>
      </c>
      <c r="C9" s="2" t="s">
        <v>468</v>
      </c>
      <c r="D9" s="2" t="s">
        <v>518</v>
      </c>
      <c r="E9" s="2" t="s">
        <v>533</v>
      </c>
      <c r="F9" s="2">
        <v>9</v>
      </c>
      <c r="G9" s="2">
        <v>487.43</v>
      </c>
      <c r="H9" s="2">
        <v>4386.87</v>
      </c>
      <c r="I9" s="2">
        <v>438.69</v>
      </c>
      <c r="J9" s="2">
        <v>4825.5600000000004</v>
      </c>
      <c r="K9">
        <f>F9*G9</f>
        <v>4386.87</v>
      </c>
      <c r="L9" s="7" t="s">
        <v>545</v>
      </c>
      <c r="M9" t="str">
        <f>IF(H9&gt;2500,"HIGH","LOW")</f>
        <v>HIGH</v>
      </c>
      <c r="N9" t="str">
        <f>IF(H9&gt;2500,"HIGH",IF(H9&lt;1000,"LOW","MEDIUM"))</f>
        <v>HIGH</v>
      </c>
    </row>
    <row r="10" spans="1:17" x14ac:dyDescent="0.35">
      <c r="A10" s="2">
        <v>394</v>
      </c>
      <c r="B10" s="3">
        <v>45335</v>
      </c>
      <c r="C10" s="2" t="s">
        <v>401</v>
      </c>
      <c r="D10" s="2" t="s">
        <v>531</v>
      </c>
      <c r="E10" s="2" t="s">
        <v>533</v>
      </c>
      <c r="F10" s="2">
        <v>9</v>
      </c>
      <c r="G10" s="2">
        <v>484.35</v>
      </c>
      <c r="H10" s="2">
        <v>4359.1499999999996</v>
      </c>
      <c r="I10" s="2">
        <v>435.91</v>
      </c>
      <c r="J10" s="2">
        <v>4795.0600000000004</v>
      </c>
      <c r="K10">
        <f>F10*G10</f>
        <v>4359.1500000000005</v>
      </c>
      <c r="L10" t="str">
        <f>_xlfn.XLOOKUP(L8,D:D,E:E,0,1)</f>
        <v>Clothing</v>
      </c>
      <c r="M10" t="str">
        <f>IF(H10&gt;2500,"HIGH","LOW")</f>
        <v>HIGH</v>
      </c>
      <c r="N10" t="str">
        <f>IF(H10&gt;2500,"HIGH",IF(H10&lt;1000,"LOW","MEDIUM"))</f>
        <v>HIGH</v>
      </c>
    </row>
    <row r="11" spans="1:17" ht="29" x14ac:dyDescent="0.35">
      <c r="A11" s="2">
        <v>500</v>
      </c>
      <c r="B11" s="3">
        <v>45560</v>
      </c>
      <c r="C11" s="2" t="s">
        <v>507</v>
      </c>
      <c r="D11" s="2" t="s">
        <v>512</v>
      </c>
      <c r="E11" s="2" t="s">
        <v>534</v>
      </c>
      <c r="F11" s="2">
        <v>10</v>
      </c>
      <c r="G11" s="2">
        <v>434.71</v>
      </c>
      <c r="H11" s="2">
        <v>4347.1000000000004</v>
      </c>
      <c r="I11" s="2">
        <v>434.71</v>
      </c>
      <c r="J11" s="2">
        <v>4781.8100000000004</v>
      </c>
      <c r="K11">
        <f t="shared" ref="K3:K66" si="0">F11*G11</f>
        <v>4347.0999999999995</v>
      </c>
      <c r="M11" t="str">
        <f t="shared" ref="M3:M66" si="1">IF(H11&gt;2500,"HIGH","LOW")</f>
        <v>HIGH</v>
      </c>
      <c r="N11" t="str">
        <f t="shared" ref="N3:N66" si="2">IF(H11&gt;2500,"HIGH",IF(H11&lt;1000,"LOW","MEDIUM"))</f>
        <v>HIGH</v>
      </c>
    </row>
    <row r="12" spans="1:17" ht="29" x14ac:dyDescent="0.35">
      <c r="A12" s="2">
        <v>8</v>
      </c>
      <c r="B12" s="3">
        <v>45682</v>
      </c>
      <c r="C12" s="2" t="s">
        <v>17</v>
      </c>
      <c r="D12" s="2" t="s">
        <v>515</v>
      </c>
      <c r="E12" s="2" t="s">
        <v>536</v>
      </c>
      <c r="F12" s="2">
        <v>9</v>
      </c>
      <c r="G12" s="2">
        <v>482.57</v>
      </c>
      <c r="H12" s="2">
        <v>4343.13</v>
      </c>
      <c r="I12" s="2">
        <v>434.31</v>
      </c>
      <c r="J12" s="2">
        <v>4777.4399999999996</v>
      </c>
      <c r="K12">
        <f t="shared" si="0"/>
        <v>4343.13</v>
      </c>
      <c r="L12" s="7" t="s">
        <v>546</v>
      </c>
      <c r="M12" t="str">
        <f t="shared" si="1"/>
        <v>HIGH</v>
      </c>
      <c r="N12" t="str">
        <f t="shared" si="2"/>
        <v>HIGH</v>
      </c>
    </row>
    <row r="13" spans="1:17" x14ac:dyDescent="0.35">
      <c r="A13" s="2">
        <v>384</v>
      </c>
      <c r="B13" s="3">
        <v>45653</v>
      </c>
      <c r="C13" s="2" t="s">
        <v>391</v>
      </c>
      <c r="D13" s="2" t="s">
        <v>529</v>
      </c>
      <c r="E13" s="2" t="s">
        <v>535</v>
      </c>
      <c r="F13" s="2">
        <v>10</v>
      </c>
      <c r="G13" s="2">
        <v>433.81</v>
      </c>
      <c r="H13" s="2">
        <v>4338.1000000000004</v>
      </c>
      <c r="I13" s="2">
        <v>433.81</v>
      </c>
      <c r="J13" s="2">
        <v>4771.91</v>
      </c>
      <c r="K13">
        <f t="shared" si="0"/>
        <v>4338.1000000000004</v>
      </c>
      <c r="L13" t="str">
        <f>VLOOKUP(L8,D:E,2,FALSE)</f>
        <v>Clothing</v>
      </c>
      <c r="M13" t="str">
        <f t="shared" si="1"/>
        <v>HIGH</v>
      </c>
      <c r="N13" t="str">
        <f t="shared" si="2"/>
        <v>HIGH</v>
      </c>
    </row>
    <row r="14" spans="1:17" x14ac:dyDescent="0.35">
      <c r="A14" s="2">
        <v>90</v>
      </c>
      <c r="B14" s="3">
        <v>45584</v>
      </c>
      <c r="C14" s="2" t="s">
        <v>99</v>
      </c>
      <c r="D14" s="2" t="s">
        <v>526</v>
      </c>
      <c r="E14" s="2" t="s">
        <v>537</v>
      </c>
      <c r="F14" s="2">
        <v>10</v>
      </c>
      <c r="G14" s="2">
        <v>423.7</v>
      </c>
      <c r="H14" s="2">
        <v>4237</v>
      </c>
      <c r="I14" s="2">
        <v>423.7</v>
      </c>
      <c r="J14" s="2">
        <v>4660.7</v>
      </c>
      <c r="K14">
        <f t="shared" si="0"/>
        <v>4237</v>
      </c>
      <c r="M14" t="str">
        <f t="shared" si="1"/>
        <v>HIGH</v>
      </c>
      <c r="N14" t="str">
        <f t="shared" si="2"/>
        <v>HIGH</v>
      </c>
    </row>
    <row r="15" spans="1:17" x14ac:dyDescent="0.35">
      <c r="A15" s="2">
        <v>148</v>
      </c>
      <c r="B15" s="3">
        <v>45542</v>
      </c>
      <c r="C15" s="2" t="s">
        <v>157</v>
      </c>
      <c r="D15" s="2" t="s">
        <v>522</v>
      </c>
      <c r="E15" s="2" t="s">
        <v>536</v>
      </c>
      <c r="F15" s="2">
        <v>10</v>
      </c>
      <c r="G15" s="2">
        <v>401.02</v>
      </c>
      <c r="H15" s="2">
        <v>4010.2</v>
      </c>
      <c r="I15" s="2">
        <v>401.02</v>
      </c>
      <c r="J15" s="2">
        <v>4411.22</v>
      </c>
      <c r="K15">
        <f t="shared" si="0"/>
        <v>4010.2</v>
      </c>
      <c r="M15" t="str">
        <f t="shared" si="1"/>
        <v>HIGH</v>
      </c>
      <c r="N15" t="str">
        <f t="shared" si="2"/>
        <v>HIGH</v>
      </c>
    </row>
    <row r="16" spans="1:17" ht="29" x14ac:dyDescent="0.35">
      <c r="A16" s="2">
        <v>170</v>
      </c>
      <c r="B16" s="3">
        <v>45348</v>
      </c>
      <c r="C16" s="2" t="s">
        <v>179</v>
      </c>
      <c r="D16" s="2" t="s">
        <v>527</v>
      </c>
      <c r="E16" s="2" t="s">
        <v>536</v>
      </c>
      <c r="F16" s="2">
        <v>9</v>
      </c>
      <c r="G16" s="2">
        <v>444.17</v>
      </c>
      <c r="H16" s="2">
        <v>3997.53</v>
      </c>
      <c r="I16" s="2">
        <v>399.75</v>
      </c>
      <c r="J16" s="2">
        <v>4397.28</v>
      </c>
      <c r="K16">
        <f t="shared" si="0"/>
        <v>3997.53</v>
      </c>
      <c r="M16" t="str">
        <f t="shared" si="1"/>
        <v>HIGH</v>
      </c>
      <c r="N16" t="str">
        <f t="shared" si="2"/>
        <v>HIGH</v>
      </c>
    </row>
    <row r="17" spans="1:14" x14ac:dyDescent="0.35">
      <c r="A17" s="2">
        <v>73</v>
      </c>
      <c r="B17" s="3">
        <v>45670</v>
      </c>
      <c r="C17" s="2" t="s">
        <v>82</v>
      </c>
      <c r="D17" s="2" t="s">
        <v>525</v>
      </c>
      <c r="E17" s="2" t="s">
        <v>535</v>
      </c>
      <c r="F17" s="2">
        <v>9</v>
      </c>
      <c r="G17" s="2">
        <v>436.79</v>
      </c>
      <c r="H17" s="2">
        <v>3931.11</v>
      </c>
      <c r="I17" s="2">
        <v>393.11</v>
      </c>
      <c r="J17" s="2">
        <v>4324.22</v>
      </c>
      <c r="K17">
        <f t="shared" si="0"/>
        <v>3931.11</v>
      </c>
      <c r="M17" t="str">
        <f t="shared" si="1"/>
        <v>HIGH</v>
      </c>
      <c r="N17" t="str">
        <f t="shared" si="2"/>
        <v>HIGH</v>
      </c>
    </row>
    <row r="18" spans="1:14" ht="29" x14ac:dyDescent="0.35">
      <c r="A18" s="2">
        <v>404</v>
      </c>
      <c r="B18" s="3">
        <v>45431</v>
      </c>
      <c r="C18" s="2" t="s">
        <v>411</v>
      </c>
      <c r="D18" s="2" t="s">
        <v>511</v>
      </c>
      <c r="E18" s="2" t="s">
        <v>535</v>
      </c>
      <c r="F18" s="2">
        <v>9</v>
      </c>
      <c r="G18" s="2">
        <v>431.67</v>
      </c>
      <c r="H18" s="2">
        <v>3885.03</v>
      </c>
      <c r="I18" s="2">
        <v>388.5</v>
      </c>
      <c r="J18" s="2">
        <v>4273.53</v>
      </c>
      <c r="K18">
        <f t="shared" si="0"/>
        <v>3885.03</v>
      </c>
      <c r="M18" t="str">
        <f t="shared" si="1"/>
        <v>HIGH</v>
      </c>
      <c r="N18" t="str">
        <f t="shared" si="2"/>
        <v>HIGH</v>
      </c>
    </row>
    <row r="19" spans="1:14" x14ac:dyDescent="0.35">
      <c r="A19" s="2">
        <v>29</v>
      </c>
      <c r="B19" s="3">
        <v>45513</v>
      </c>
      <c r="C19" s="2" t="s">
        <v>38</v>
      </c>
      <c r="D19" s="2" t="s">
        <v>523</v>
      </c>
      <c r="E19" s="2" t="s">
        <v>534</v>
      </c>
      <c r="F19" s="2">
        <v>9</v>
      </c>
      <c r="G19" s="2">
        <v>429.65</v>
      </c>
      <c r="H19" s="2">
        <v>3866.85</v>
      </c>
      <c r="I19" s="2">
        <v>386.69</v>
      </c>
      <c r="J19" s="2">
        <v>4253.54</v>
      </c>
      <c r="K19">
        <f t="shared" si="0"/>
        <v>3866.85</v>
      </c>
      <c r="M19" t="str">
        <f t="shared" si="1"/>
        <v>HIGH</v>
      </c>
      <c r="N19" t="str">
        <f t="shared" si="2"/>
        <v>HIGH</v>
      </c>
    </row>
    <row r="20" spans="1:14" ht="29" x14ac:dyDescent="0.35">
      <c r="A20" s="2">
        <v>398</v>
      </c>
      <c r="B20" s="3">
        <v>45666</v>
      </c>
      <c r="C20" s="2" t="s">
        <v>405</v>
      </c>
      <c r="D20" s="2" t="s">
        <v>530</v>
      </c>
      <c r="E20" s="2" t="s">
        <v>537</v>
      </c>
      <c r="F20" s="2">
        <v>9</v>
      </c>
      <c r="G20" s="2">
        <v>428.29</v>
      </c>
      <c r="H20" s="2">
        <v>3854.61</v>
      </c>
      <c r="I20" s="2">
        <v>385.46</v>
      </c>
      <c r="J20" s="2">
        <v>4240.07</v>
      </c>
      <c r="K20">
        <f t="shared" si="0"/>
        <v>3854.61</v>
      </c>
      <c r="M20" t="str">
        <f t="shared" si="1"/>
        <v>HIGH</v>
      </c>
      <c r="N20" t="str">
        <f t="shared" si="2"/>
        <v>HIGH</v>
      </c>
    </row>
    <row r="21" spans="1:14" x14ac:dyDescent="0.35">
      <c r="A21" s="2">
        <v>439</v>
      </c>
      <c r="B21" s="3">
        <v>45595</v>
      </c>
      <c r="C21" s="2" t="s">
        <v>446</v>
      </c>
      <c r="D21" s="2" t="s">
        <v>513</v>
      </c>
      <c r="E21" s="2" t="s">
        <v>535</v>
      </c>
      <c r="F21" s="2">
        <v>9</v>
      </c>
      <c r="G21" s="2">
        <v>424.16</v>
      </c>
      <c r="H21" s="2">
        <v>3817.44</v>
      </c>
      <c r="I21" s="2">
        <v>381.74</v>
      </c>
      <c r="J21" s="2">
        <v>4199.18</v>
      </c>
      <c r="K21">
        <f t="shared" si="0"/>
        <v>3817.44</v>
      </c>
      <c r="M21" t="str">
        <f t="shared" si="1"/>
        <v>HIGH</v>
      </c>
      <c r="N21" t="str">
        <f t="shared" si="2"/>
        <v>HIGH</v>
      </c>
    </row>
    <row r="22" spans="1:14" x14ac:dyDescent="0.35">
      <c r="A22" s="2">
        <v>159</v>
      </c>
      <c r="B22" s="3">
        <v>45603</v>
      </c>
      <c r="C22" s="2" t="s">
        <v>168</v>
      </c>
      <c r="D22" s="2" t="s">
        <v>513</v>
      </c>
      <c r="E22" s="2" t="s">
        <v>535</v>
      </c>
      <c r="F22" s="2">
        <v>8</v>
      </c>
      <c r="G22" s="2">
        <v>474.71</v>
      </c>
      <c r="H22" s="2">
        <v>3797.68</v>
      </c>
      <c r="I22" s="2">
        <v>379.77</v>
      </c>
      <c r="J22" s="2">
        <v>4177.45</v>
      </c>
      <c r="K22">
        <f t="shared" si="0"/>
        <v>3797.68</v>
      </c>
      <c r="M22" t="str">
        <f t="shared" si="1"/>
        <v>HIGH</v>
      </c>
      <c r="N22" t="str">
        <f t="shared" si="2"/>
        <v>HIGH</v>
      </c>
    </row>
    <row r="23" spans="1:14" x14ac:dyDescent="0.35">
      <c r="A23" s="2">
        <v>145</v>
      </c>
      <c r="B23" s="3">
        <v>45658</v>
      </c>
      <c r="C23" s="2" t="s">
        <v>154</v>
      </c>
      <c r="D23" s="2" t="s">
        <v>518</v>
      </c>
      <c r="E23" s="2" t="s">
        <v>533</v>
      </c>
      <c r="F23" s="2">
        <v>8</v>
      </c>
      <c r="G23" s="2">
        <v>471.84</v>
      </c>
      <c r="H23" s="2">
        <v>3774.72</v>
      </c>
      <c r="I23" s="2">
        <v>377.47</v>
      </c>
      <c r="J23" s="2">
        <v>4152.1899999999996</v>
      </c>
      <c r="K23">
        <f t="shared" si="0"/>
        <v>3774.72</v>
      </c>
      <c r="M23" t="str">
        <f t="shared" si="1"/>
        <v>HIGH</v>
      </c>
      <c r="N23" t="str">
        <f t="shared" si="2"/>
        <v>HIGH</v>
      </c>
    </row>
    <row r="24" spans="1:14" ht="29" x14ac:dyDescent="0.35">
      <c r="A24" s="2">
        <v>290</v>
      </c>
      <c r="B24" s="3">
        <v>45515</v>
      </c>
      <c r="C24" s="2" t="s">
        <v>297</v>
      </c>
      <c r="D24" s="2" t="s">
        <v>524</v>
      </c>
      <c r="E24" s="2" t="s">
        <v>534</v>
      </c>
      <c r="F24" s="2">
        <v>9</v>
      </c>
      <c r="G24" s="2">
        <v>416.48</v>
      </c>
      <c r="H24" s="2">
        <v>3748.32</v>
      </c>
      <c r="I24" s="2">
        <v>374.83</v>
      </c>
      <c r="J24" s="2">
        <v>4123.1499999999996</v>
      </c>
      <c r="K24">
        <f t="shared" si="0"/>
        <v>3748.32</v>
      </c>
      <c r="M24" t="str">
        <f t="shared" si="1"/>
        <v>HIGH</v>
      </c>
      <c r="N24" t="str">
        <f t="shared" si="2"/>
        <v>HIGH</v>
      </c>
    </row>
    <row r="25" spans="1:14" ht="29" x14ac:dyDescent="0.35">
      <c r="A25" s="2">
        <v>430</v>
      </c>
      <c r="B25" s="3">
        <v>45581</v>
      </c>
      <c r="C25" s="2" t="s">
        <v>437</v>
      </c>
      <c r="D25" s="2" t="s">
        <v>510</v>
      </c>
      <c r="E25" s="2" t="s">
        <v>533</v>
      </c>
      <c r="F25" s="2">
        <v>9</v>
      </c>
      <c r="G25" s="2">
        <v>414.96</v>
      </c>
      <c r="H25" s="2">
        <v>3734.64</v>
      </c>
      <c r="I25" s="2">
        <v>373.46</v>
      </c>
      <c r="J25" s="2">
        <v>4108.1000000000004</v>
      </c>
      <c r="K25">
        <f t="shared" si="0"/>
        <v>3734.64</v>
      </c>
      <c r="M25" t="str">
        <f t="shared" si="1"/>
        <v>HIGH</v>
      </c>
      <c r="N25" t="str">
        <f t="shared" si="2"/>
        <v>HIGH</v>
      </c>
    </row>
    <row r="26" spans="1:14" x14ac:dyDescent="0.35">
      <c r="A26" s="2">
        <v>280</v>
      </c>
      <c r="B26" s="3">
        <v>45330</v>
      </c>
      <c r="C26" s="2" t="s">
        <v>287</v>
      </c>
      <c r="D26" s="2" t="s">
        <v>519</v>
      </c>
      <c r="E26" s="2" t="s">
        <v>537</v>
      </c>
      <c r="F26" s="2">
        <v>8</v>
      </c>
      <c r="G26" s="2">
        <v>455.07</v>
      </c>
      <c r="H26" s="2">
        <v>3640.56</v>
      </c>
      <c r="I26" s="2">
        <v>364.06</v>
      </c>
      <c r="J26" s="2">
        <v>4004.62</v>
      </c>
      <c r="K26">
        <f t="shared" si="0"/>
        <v>3640.56</v>
      </c>
      <c r="M26" t="str">
        <f t="shared" si="1"/>
        <v>HIGH</v>
      </c>
      <c r="N26" t="str">
        <f t="shared" si="2"/>
        <v>HIGH</v>
      </c>
    </row>
    <row r="27" spans="1:14" ht="29" x14ac:dyDescent="0.35">
      <c r="A27" s="2">
        <v>485</v>
      </c>
      <c r="B27" s="3">
        <v>45526</v>
      </c>
      <c r="C27" s="2" t="s">
        <v>492</v>
      </c>
      <c r="D27" s="2" t="s">
        <v>517</v>
      </c>
      <c r="E27" s="2" t="s">
        <v>537</v>
      </c>
      <c r="F27" s="2">
        <v>8</v>
      </c>
      <c r="G27" s="2">
        <v>452.74</v>
      </c>
      <c r="H27" s="2">
        <v>3621.92</v>
      </c>
      <c r="I27" s="2">
        <v>362.19</v>
      </c>
      <c r="J27" s="2">
        <v>3984.11</v>
      </c>
      <c r="K27">
        <f t="shared" si="0"/>
        <v>3621.92</v>
      </c>
      <c r="M27" t="str">
        <f t="shared" si="1"/>
        <v>HIGH</v>
      </c>
      <c r="N27" t="str">
        <f t="shared" si="2"/>
        <v>HIGH</v>
      </c>
    </row>
    <row r="28" spans="1:14" ht="29" x14ac:dyDescent="0.35">
      <c r="A28" s="2">
        <v>222</v>
      </c>
      <c r="B28" s="3">
        <v>45675</v>
      </c>
      <c r="C28" s="2" t="s">
        <v>231</v>
      </c>
      <c r="D28" s="2" t="s">
        <v>514</v>
      </c>
      <c r="E28" s="2" t="s">
        <v>534</v>
      </c>
      <c r="F28" s="2">
        <v>8</v>
      </c>
      <c r="G28" s="2">
        <v>449.57</v>
      </c>
      <c r="H28" s="2">
        <v>3596.56</v>
      </c>
      <c r="I28" s="2">
        <v>359.66</v>
      </c>
      <c r="J28" s="2">
        <v>3956.22</v>
      </c>
      <c r="K28">
        <f t="shared" si="0"/>
        <v>3596.56</v>
      </c>
      <c r="M28" t="str">
        <f t="shared" si="1"/>
        <v>HIGH</v>
      </c>
      <c r="N28" t="str">
        <f t="shared" si="2"/>
        <v>HIGH</v>
      </c>
    </row>
    <row r="29" spans="1:14" ht="29" x14ac:dyDescent="0.35">
      <c r="A29" s="2">
        <v>269</v>
      </c>
      <c r="B29" s="3">
        <v>45438</v>
      </c>
      <c r="C29" s="2" t="s">
        <v>276</v>
      </c>
      <c r="D29" s="2" t="s">
        <v>517</v>
      </c>
      <c r="E29" s="2" t="s">
        <v>537</v>
      </c>
      <c r="F29" s="2">
        <v>9</v>
      </c>
      <c r="G29" s="2">
        <v>399.11</v>
      </c>
      <c r="H29" s="2">
        <v>3591.99</v>
      </c>
      <c r="I29" s="2">
        <v>359.2</v>
      </c>
      <c r="J29" s="2">
        <v>3951.19</v>
      </c>
      <c r="K29">
        <f t="shared" si="0"/>
        <v>3591.9900000000002</v>
      </c>
      <c r="M29" t="str">
        <f t="shared" si="1"/>
        <v>HIGH</v>
      </c>
      <c r="N29" t="str">
        <f t="shared" si="2"/>
        <v>HIGH</v>
      </c>
    </row>
    <row r="30" spans="1:14" x14ac:dyDescent="0.35">
      <c r="A30" s="2">
        <v>211</v>
      </c>
      <c r="B30" s="3">
        <v>45428</v>
      </c>
      <c r="C30" s="2" t="s">
        <v>220</v>
      </c>
      <c r="D30" s="2" t="s">
        <v>521</v>
      </c>
      <c r="E30" s="2" t="s">
        <v>533</v>
      </c>
      <c r="F30" s="2">
        <v>9</v>
      </c>
      <c r="G30" s="2">
        <v>399.09</v>
      </c>
      <c r="H30" s="2">
        <v>3591.81</v>
      </c>
      <c r="I30" s="2">
        <v>359.18</v>
      </c>
      <c r="J30" s="2">
        <v>3950.99</v>
      </c>
      <c r="K30">
        <f t="shared" si="0"/>
        <v>3591.81</v>
      </c>
      <c r="M30" t="str">
        <f t="shared" si="1"/>
        <v>HIGH</v>
      </c>
      <c r="N30" t="str">
        <f t="shared" si="2"/>
        <v>HIGH</v>
      </c>
    </row>
    <row r="31" spans="1:14" x14ac:dyDescent="0.35">
      <c r="A31" s="2">
        <v>275</v>
      </c>
      <c r="B31" s="3">
        <v>45375</v>
      </c>
      <c r="C31" s="2" t="s">
        <v>282</v>
      </c>
      <c r="D31" s="2" t="s">
        <v>508</v>
      </c>
      <c r="E31" s="2" t="s">
        <v>533</v>
      </c>
      <c r="F31" s="2">
        <v>10</v>
      </c>
      <c r="G31" s="2">
        <v>354.34</v>
      </c>
      <c r="H31" s="2">
        <v>3543.4</v>
      </c>
      <c r="I31" s="2">
        <v>354.34</v>
      </c>
      <c r="J31" s="2">
        <v>3897.74</v>
      </c>
      <c r="K31">
        <f t="shared" si="0"/>
        <v>3543.3999999999996</v>
      </c>
      <c r="M31" t="str">
        <f t="shared" si="1"/>
        <v>HIGH</v>
      </c>
      <c r="N31" t="str">
        <f t="shared" si="2"/>
        <v>HIGH</v>
      </c>
    </row>
    <row r="32" spans="1:14" ht="29" x14ac:dyDescent="0.35">
      <c r="A32" s="2">
        <v>156</v>
      </c>
      <c r="B32" s="3">
        <v>45690</v>
      </c>
      <c r="C32" s="2" t="s">
        <v>165</v>
      </c>
      <c r="D32" s="2" t="s">
        <v>511</v>
      </c>
      <c r="E32" s="2" t="s">
        <v>535</v>
      </c>
      <c r="F32" s="2">
        <v>8</v>
      </c>
      <c r="G32" s="2">
        <v>442.65</v>
      </c>
      <c r="H32" s="2">
        <v>3541.2</v>
      </c>
      <c r="I32" s="2">
        <v>354.12</v>
      </c>
      <c r="J32" s="2">
        <v>3895.32</v>
      </c>
      <c r="K32">
        <f t="shared" si="0"/>
        <v>3541.2</v>
      </c>
      <c r="M32" t="str">
        <f t="shared" si="1"/>
        <v>HIGH</v>
      </c>
      <c r="N32" t="str">
        <f t="shared" si="2"/>
        <v>HIGH</v>
      </c>
    </row>
    <row r="33" spans="1:14" x14ac:dyDescent="0.35">
      <c r="A33" s="2">
        <v>34</v>
      </c>
      <c r="B33" s="3">
        <v>45613</v>
      </c>
      <c r="C33" s="2" t="s">
        <v>43</v>
      </c>
      <c r="D33" s="2" t="s">
        <v>519</v>
      </c>
      <c r="E33" s="2" t="s">
        <v>537</v>
      </c>
      <c r="F33" s="2">
        <v>10</v>
      </c>
      <c r="G33" s="2">
        <v>353</v>
      </c>
      <c r="H33" s="2">
        <v>3530</v>
      </c>
      <c r="I33" s="2">
        <v>353</v>
      </c>
      <c r="J33" s="2">
        <v>3883</v>
      </c>
      <c r="K33">
        <f t="shared" si="0"/>
        <v>3530</v>
      </c>
      <c r="M33" t="str">
        <f t="shared" si="1"/>
        <v>HIGH</v>
      </c>
      <c r="N33" t="str">
        <f t="shared" si="2"/>
        <v>HIGH</v>
      </c>
    </row>
    <row r="34" spans="1:14" x14ac:dyDescent="0.35">
      <c r="A34" s="2">
        <v>141</v>
      </c>
      <c r="B34" s="3">
        <v>45614</v>
      </c>
      <c r="C34" s="2" t="s">
        <v>150</v>
      </c>
      <c r="D34" s="2" t="s">
        <v>508</v>
      </c>
      <c r="E34" s="2" t="s">
        <v>533</v>
      </c>
      <c r="F34" s="2">
        <v>9</v>
      </c>
      <c r="G34" s="2">
        <v>391.96</v>
      </c>
      <c r="H34" s="2">
        <v>3527.64</v>
      </c>
      <c r="I34" s="2">
        <v>352.76</v>
      </c>
      <c r="J34" s="2">
        <v>3880.4</v>
      </c>
      <c r="K34">
        <f t="shared" si="0"/>
        <v>3527.64</v>
      </c>
      <c r="M34" t="str">
        <f t="shared" si="1"/>
        <v>HIGH</v>
      </c>
      <c r="N34" t="str">
        <f t="shared" si="2"/>
        <v>HIGH</v>
      </c>
    </row>
    <row r="35" spans="1:14" ht="29" x14ac:dyDescent="0.35">
      <c r="A35" s="2">
        <v>442</v>
      </c>
      <c r="B35" s="3">
        <v>45374</v>
      </c>
      <c r="C35" s="2" t="s">
        <v>449</v>
      </c>
      <c r="D35" s="2" t="s">
        <v>524</v>
      </c>
      <c r="E35" s="2" t="s">
        <v>534</v>
      </c>
      <c r="F35" s="2">
        <v>9</v>
      </c>
      <c r="G35" s="2">
        <v>390.93</v>
      </c>
      <c r="H35" s="2">
        <v>3518.37</v>
      </c>
      <c r="I35" s="2">
        <v>351.84</v>
      </c>
      <c r="J35" s="2">
        <v>3870.21</v>
      </c>
      <c r="K35">
        <f t="shared" si="0"/>
        <v>3518.37</v>
      </c>
      <c r="M35" t="str">
        <f t="shared" si="1"/>
        <v>HIGH</v>
      </c>
      <c r="N35" t="str">
        <f t="shared" si="2"/>
        <v>HIGH</v>
      </c>
    </row>
    <row r="36" spans="1:14" x14ac:dyDescent="0.35">
      <c r="A36" s="2">
        <v>188</v>
      </c>
      <c r="B36" s="3">
        <v>45349</v>
      </c>
      <c r="C36" s="2" t="s">
        <v>197</v>
      </c>
      <c r="D36" s="2" t="s">
        <v>531</v>
      </c>
      <c r="E36" s="2" t="s">
        <v>533</v>
      </c>
      <c r="F36" s="2">
        <v>8</v>
      </c>
      <c r="G36" s="2">
        <v>438.49</v>
      </c>
      <c r="H36" s="2">
        <v>3507.92</v>
      </c>
      <c r="I36" s="2">
        <v>350.79</v>
      </c>
      <c r="J36" s="2">
        <v>3858.71</v>
      </c>
      <c r="K36">
        <f t="shared" si="0"/>
        <v>3507.92</v>
      </c>
      <c r="M36" t="str">
        <f t="shared" si="1"/>
        <v>HIGH</v>
      </c>
      <c r="N36" t="str">
        <f t="shared" si="2"/>
        <v>HIGH</v>
      </c>
    </row>
    <row r="37" spans="1:14" x14ac:dyDescent="0.35">
      <c r="A37" s="2">
        <v>340</v>
      </c>
      <c r="B37" s="3">
        <v>45493</v>
      </c>
      <c r="C37" s="2" t="s">
        <v>347</v>
      </c>
      <c r="D37" s="2" t="s">
        <v>522</v>
      </c>
      <c r="E37" s="2" t="s">
        <v>536</v>
      </c>
      <c r="F37" s="2">
        <v>10</v>
      </c>
      <c r="G37" s="2">
        <v>350.3</v>
      </c>
      <c r="H37" s="2">
        <v>3503</v>
      </c>
      <c r="I37" s="2">
        <v>350.3</v>
      </c>
      <c r="J37" s="2">
        <v>3853.3</v>
      </c>
      <c r="K37">
        <f t="shared" si="0"/>
        <v>3503</v>
      </c>
      <c r="M37" t="str">
        <f t="shared" si="1"/>
        <v>HIGH</v>
      </c>
      <c r="N37" t="str">
        <f t="shared" si="2"/>
        <v>HIGH</v>
      </c>
    </row>
    <row r="38" spans="1:14" x14ac:dyDescent="0.35">
      <c r="A38" s="2">
        <v>426</v>
      </c>
      <c r="B38" s="3">
        <v>45499</v>
      </c>
      <c r="C38" s="2" t="s">
        <v>433</v>
      </c>
      <c r="D38" s="2" t="s">
        <v>516</v>
      </c>
      <c r="E38" s="2" t="s">
        <v>535</v>
      </c>
      <c r="F38" s="2">
        <v>10</v>
      </c>
      <c r="G38" s="2">
        <v>347.22</v>
      </c>
      <c r="H38" s="2">
        <v>3472.2</v>
      </c>
      <c r="I38" s="2">
        <v>347.22</v>
      </c>
      <c r="J38" s="2">
        <v>3819.42</v>
      </c>
      <c r="K38">
        <f t="shared" si="0"/>
        <v>3472.2000000000003</v>
      </c>
      <c r="M38" t="str">
        <f t="shared" si="1"/>
        <v>HIGH</v>
      </c>
      <c r="N38" t="str">
        <f t="shared" si="2"/>
        <v>HIGH</v>
      </c>
    </row>
    <row r="39" spans="1:14" ht="29" x14ac:dyDescent="0.35">
      <c r="A39" s="2">
        <v>350</v>
      </c>
      <c r="B39" s="3">
        <v>45612</v>
      </c>
      <c r="C39" s="2" t="s">
        <v>357</v>
      </c>
      <c r="D39" s="2" t="s">
        <v>530</v>
      </c>
      <c r="E39" s="2" t="s">
        <v>537</v>
      </c>
      <c r="F39" s="2">
        <v>9</v>
      </c>
      <c r="G39" s="2">
        <v>378.41</v>
      </c>
      <c r="H39" s="2">
        <v>3405.69</v>
      </c>
      <c r="I39" s="2">
        <v>340.57</v>
      </c>
      <c r="J39" s="2">
        <v>3746.26</v>
      </c>
      <c r="K39">
        <f t="shared" si="0"/>
        <v>3405.69</v>
      </c>
      <c r="M39" t="str">
        <f t="shared" si="1"/>
        <v>HIGH</v>
      </c>
      <c r="N39" t="str">
        <f t="shared" si="2"/>
        <v>HIGH</v>
      </c>
    </row>
    <row r="40" spans="1:14" x14ac:dyDescent="0.35">
      <c r="A40" s="2">
        <v>235</v>
      </c>
      <c r="B40" s="3">
        <v>45423</v>
      </c>
      <c r="C40" s="2" t="s">
        <v>244</v>
      </c>
      <c r="D40" s="2" t="s">
        <v>521</v>
      </c>
      <c r="E40" s="2" t="s">
        <v>533</v>
      </c>
      <c r="F40" s="2">
        <v>8</v>
      </c>
      <c r="G40" s="2">
        <v>425.18</v>
      </c>
      <c r="H40" s="2">
        <v>3401.44</v>
      </c>
      <c r="I40" s="2">
        <v>340.14</v>
      </c>
      <c r="J40" s="2">
        <v>3741.58</v>
      </c>
      <c r="K40">
        <f t="shared" si="0"/>
        <v>3401.44</v>
      </c>
      <c r="M40" t="str">
        <f t="shared" si="1"/>
        <v>HIGH</v>
      </c>
      <c r="N40" t="str">
        <f t="shared" si="2"/>
        <v>HIGH</v>
      </c>
    </row>
    <row r="41" spans="1:14" x14ac:dyDescent="0.35">
      <c r="A41" s="2">
        <v>185</v>
      </c>
      <c r="B41" s="3">
        <v>45647</v>
      </c>
      <c r="C41" s="2" t="s">
        <v>194</v>
      </c>
      <c r="D41" s="2" t="s">
        <v>509</v>
      </c>
      <c r="E41" s="2" t="s">
        <v>534</v>
      </c>
      <c r="F41" s="2">
        <v>9</v>
      </c>
      <c r="G41" s="2">
        <v>362.23</v>
      </c>
      <c r="H41" s="2">
        <v>3260.07</v>
      </c>
      <c r="I41" s="2">
        <v>326.01</v>
      </c>
      <c r="J41" s="2">
        <v>3586.08</v>
      </c>
      <c r="K41">
        <f t="shared" si="0"/>
        <v>3260.07</v>
      </c>
      <c r="M41" t="str">
        <f t="shared" si="1"/>
        <v>HIGH</v>
      </c>
      <c r="N41" t="str">
        <f t="shared" si="2"/>
        <v>HIGH</v>
      </c>
    </row>
    <row r="42" spans="1:14" x14ac:dyDescent="0.35">
      <c r="A42" s="2">
        <v>489</v>
      </c>
      <c r="B42" s="3">
        <v>45583</v>
      </c>
      <c r="C42" s="2" t="s">
        <v>496</v>
      </c>
      <c r="D42" s="2" t="s">
        <v>522</v>
      </c>
      <c r="E42" s="2" t="s">
        <v>536</v>
      </c>
      <c r="F42" s="2">
        <v>7</v>
      </c>
      <c r="G42" s="2">
        <v>457.54</v>
      </c>
      <c r="H42" s="2">
        <v>3202.78</v>
      </c>
      <c r="I42" s="2">
        <v>320.27999999999997</v>
      </c>
      <c r="J42" s="2">
        <v>3523.06</v>
      </c>
      <c r="K42">
        <f t="shared" si="0"/>
        <v>3202.78</v>
      </c>
      <c r="M42" t="str">
        <f t="shared" si="1"/>
        <v>HIGH</v>
      </c>
      <c r="N42" t="str">
        <f t="shared" si="2"/>
        <v>HIGH</v>
      </c>
    </row>
    <row r="43" spans="1:14" x14ac:dyDescent="0.35">
      <c r="A43" s="2">
        <v>164</v>
      </c>
      <c r="B43" s="3">
        <v>45679</v>
      </c>
      <c r="C43" s="2" t="s">
        <v>173</v>
      </c>
      <c r="D43" s="2" t="s">
        <v>512</v>
      </c>
      <c r="E43" s="2" t="s">
        <v>534</v>
      </c>
      <c r="F43" s="2">
        <v>7</v>
      </c>
      <c r="G43" s="2">
        <v>448.49</v>
      </c>
      <c r="H43" s="2">
        <v>3139.43</v>
      </c>
      <c r="I43" s="2">
        <v>313.94</v>
      </c>
      <c r="J43" s="2">
        <v>3453.37</v>
      </c>
      <c r="K43">
        <f t="shared" si="0"/>
        <v>3139.4300000000003</v>
      </c>
      <c r="M43" t="str">
        <f t="shared" si="1"/>
        <v>HIGH</v>
      </c>
      <c r="N43" t="str">
        <f t="shared" si="2"/>
        <v>HIGH</v>
      </c>
    </row>
    <row r="44" spans="1:14" ht="29" x14ac:dyDescent="0.35">
      <c r="A44" s="2">
        <v>7</v>
      </c>
      <c r="B44" s="3">
        <v>45560</v>
      </c>
      <c r="C44" s="2" t="s">
        <v>16</v>
      </c>
      <c r="D44" s="2" t="s">
        <v>514</v>
      </c>
      <c r="E44" s="2" t="s">
        <v>534</v>
      </c>
      <c r="F44" s="2">
        <v>7</v>
      </c>
      <c r="G44" s="2">
        <v>447.53</v>
      </c>
      <c r="H44" s="2">
        <v>3132.71</v>
      </c>
      <c r="I44" s="2">
        <v>313.27</v>
      </c>
      <c r="J44" s="2">
        <v>3445.98</v>
      </c>
      <c r="K44">
        <f t="shared" si="0"/>
        <v>3132.71</v>
      </c>
      <c r="M44" t="str">
        <f t="shared" si="1"/>
        <v>HIGH</v>
      </c>
      <c r="N44" t="str">
        <f t="shared" si="2"/>
        <v>HIGH</v>
      </c>
    </row>
    <row r="45" spans="1:14" ht="29" x14ac:dyDescent="0.35">
      <c r="A45" s="2">
        <v>329</v>
      </c>
      <c r="B45" s="3">
        <v>45571</v>
      </c>
      <c r="C45" s="2" t="s">
        <v>336</v>
      </c>
      <c r="D45" s="2" t="s">
        <v>524</v>
      </c>
      <c r="E45" s="2" t="s">
        <v>534</v>
      </c>
      <c r="F45" s="2">
        <v>9</v>
      </c>
      <c r="G45" s="2">
        <v>345.97</v>
      </c>
      <c r="H45" s="2">
        <v>3113.73</v>
      </c>
      <c r="I45" s="2">
        <v>311.37</v>
      </c>
      <c r="J45" s="2">
        <v>3425.1</v>
      </c>
      <c r="K45">
        <f t="shared" si="0"/>
        <v>3113.7300000000005</v>
      </c>
      <c r="M45" t="str">
        <f t="shared" si="1"/>
        <v>HIGH</v>
      </c>
      <c r="N45" t="str">
        <f t="shared" si="2"/>
        <v>HIGH</v>
      </c>
    </row>
    <row r="46" spans="1:14" x14ac:dyDescent="0.35">
      <c r="A46" s="2">
        <v>338</v>
      </c>
      <c r="B46" s="3">
        <v>45453</v>
      </c>
      <c r="C46" s="2" t="s">
        <v>345</v>
      </c>
      <c r="D46" s="2" t="s">
        <v>510</v>
      </c>
      <c r="E46" s="2" t="s">
        <v>533</v>
      </c>
      <c r="F46" s="2">
        <v>10</v>
      </c>
      <c r="G46" s="2">
        <v>309.04000000000002</v>
      </c>
      <c r="H46" s="2">
        <v>3090.4</v>
      </c>
      <c r="I46" s="2">
        <v>309.04000000000002</v>
      </c>
      <c r="J46" s="2">
        <v>3399.44</v>
      </c>
      <c r="K46">
        <f t="shared" si="0"/>
        <v>3090.4</v>
      </c>
      <c r="M46" t="str">
        <f t="shared" si="1"/>
        <v>HIGH</v>
      </c>
      <c r="N46" t="str">
        <f t="shared" si="2"/>
        <v>HIGH</v>
      </c>
    </row>
    <row r="47" spans="1:14" x14ac:dyDescent="0.35">
      <c r="A47" s="2">
        <v>246</v>
      </c>
      <c r="B47" s="3">
        <v>45579</v>
      </c>
      <c r="C47" s="2" t="s">
        <v>255</v>
      </c>
      <c r="D47" s="2" t="s">
        <v>531</v>
      </c>
      <c r="E47" s="2" t="s">
        <v>533</v>
      </c>
      <c r="F47" s="2">
        <v>9</v>
      </c>
      <c r="G47" s="2">
        <v>341.86</v>
      </c>
      <c r="H47" s="2">
        <v>3076.74</v>
      </c>
      <c r="I47" s="2">
        <v>307.67</v>
      </c>
      <c r="J47" s="2">
        <v>3384.41</v>
      </c>
      <c r="K47">
        <f t="shared" si="0"/>
        <v>3076.7400000000002</v>
      </c>
      <c r="M47" t="str">
        <f t="shared" si="1"/>
        <v>HIGH</v>
      </c>
      <c r="N47" t="str">
        <f t="shared" si="2"/>
        <v>HIGH</v>
      </c>
    </row>
    <row r="48" spans="1:14" ht="29" x14ac:dyDescent="0.35">
      <c r="A48" s="2">
        <v>292</v>
      </c>
      <c r="B48" s="3">
        <v>45505</v>
      </c>
      <c r="C48" s="2" t="s">
        <v>299</v>
      </c>
      <c r="D48" s="2" t="s">
        <v>515</v>
      </c>
      <c r="E48" s="2" t="s">
        <v>536</v>
      </c>
      <c r="F48" s="2">
        <v>9</v>
      </c>
      <c r="G48" s="2">
        <v>339.61</v>
      </c>
      <c r="H48" s="2">
        <v>3056.49</v>
      </c>
      <c r="I48" s="2">
        <v>305.64999999999998</v>
      </c>
      <c r="J48" s="2">
        <v>3362.14</v>
      </c>
      <c r="K48">
        <f t="shared" si="0"/>
        <v>3056.4900000000002</v>
      </c>
      <c r="M48" t="str">
        <f t="shared" si="1"/>
        <v>HIGH</v>
      </c>
      <c r="N48" t="str">
        <f t="shared" si="2"/>
        <v>HIGH</v>
      </c>
    </row>
    <row r="49" spans="1:14" x14ac:dyDescent="0.35">
      <c r="A49" s="2">
        <v>40</v>
      </c>
      <c r="B49" s="3">
        <v>45406</v>
      </c>
      <c r="C49" s="2" t="s">
        <v>49</v>
      </c>
      <c r="D49" s="2" t="s">
        <v>509</v>
      </c>
      <c r="E49" s="2" t="s">
        <v>534</v>
      </c>
      <c r="F49" s="2">
        <v>8</v>
      </c>
      <c r="G49" s="2">
        <v>381.86</v>
      </c>
      <c r="H49" s="2">
        <v>3054.88</v>
      </c>
      <c r="I49" s="2">
        <v>305.49</v>
      </c>
      <c r="J49" s="2">
        <v>3360.37</v>
      </c>
      <c r="K49">
        <f t="shared" si="0"/>
        <v>3054.88</v>
      </c>
      <c r="M49" t="str">
        <f t="shared" si="1"/>
        <v>HIGH</v>
      </c>
      <c r="N49" t="str">
        <f t="shared" si="2"/>
        <v>HIGH</v>
      </c>
    </row>
    <row r="50" spans="1:14" x14ac:dyDescent="0.35">
      <c r="A50" s="2">
        <v>48</v>
      </c>
      <c r="B50" s="3">
        <v>45334</v>
      </c>
      <c r="C50" s="2" t="s">
        <v>57</v>
      </c>
      <c r="D50" s="2" t="s">
        <v>513</v>
      </c>
      <c r="E50" s="2" t="s">
        <v>535</v>
      </c>
      <c r="F50" s="2">
        <v>7</v>
      </c>
      <c r="G50" s="2">
        <v>433.85</v>
      </c>
      <c r="H50" s="2">
        <v>3036.95</v>
      </c>
      <c r="I50" s="2">
        <v>303.69</v>
      </c>
      <c r="J50" s="2">
        <v>3340.64</v>
      </c>
      <c r="K50">
        <f t="shared" si="0"/>
        <v>3036.9500000000003</v>
      </c>
      <c r="M50" t="str">
        <f t="shared" si="1"/>
        <v>HIGH</v>
      </c>
      <c r="N50" t="str">
        <f t="shared" si="2"/>
        <v>HIGH</v>
      </c>
    </row>
    <row r="51" spans="1:14" x14ac:dyDescent="0.35">
      <c r="A51" s="2">
        <v>376</v>
      </c>
      <c r="B51" s="3">
        <v>45532</v>
      </c>
      <c r="C51" s="2" t="s">
        <v>383</v>
      </c>
      <c r="D51" s="2" t="s">
        <v>509</v>
      </c>
      <c r="E51" s="2" t="s">
        <v>534</v>
      </c>
      <c r="F51" s="2">
        <v>7</v>
      </c>
      <c r="G51" s="2">
        <v>430.79</v>
      </c>
      <c r="H51" s="2">
        <v>3015.53</v>
      </c>
      <c r="I51" s="2">
        <v>301.55</v>
      </c>
      <c r="J51" s="2">
        <v>3317.08</v>
      </c>
      <c r="K51">
        <f t="shared" si="0"/>
        <v>3015.53</v>
      </c>
      <c r="M51" t="str">
        <f t="shared" si="1"/>
        <v>HIGH</v>
      </c>
      <c r="N51" t="str">
        <f t="shared" si="2"/>
        <v>HIGH</v>
      </c>
    </row>
    <row r="52" spans="1:14" x14ac:dyDescent="0.35">
      <c r="A52" s="2">
        <v>95</v>
      </c>
      <c r="B52" s="3">
        <v>45497</v>
      </c>
      <c r="C52" s="2" t="s">
        <v>104</v>
      </c>
      <c r="D52" s="2" t="s">
        <v>512</v>
      </c>
      <c r="E52" s="2" t="s">
        <v>534</v>
      </c>
      <c r="F52" s="2">
        <v>6</v>
      </c>
      <c r="G52" s="2">
        <v>498.5</v>
      </c>
      <c r="H52" s="2">
        <v>2991</v>
      </c>
      <c r="I52" s="2">
        <v>299.10000000000002</v>
      </c>
      <c r="J52" s="2">
        <v>3290.1</v>
      </c>
      <c r="K52">
        <f t="shared" si="0"/>
        <v>2991</v>
      </c>
      <c r="M52" t="str">
        <f t="shared" si="1"/>
        <v>HIGH</v>
      </c>
      <c r="N52" t="str">
        <f t="shared" si="2"/>
        <v>HIGH</v>
      </c>
    </row>
    <row r="53" spans="1:14" x14ac:dyDescent="0.35">
      <c r="A53" s="2">
        <v>122</v>
      </c>
      <c r="B53" s="3">
        <v>45352</v>
      </c>
      <c r="C53" s="2" t="s">
        <v>131</v>
      </c>
      <c r="D53" s="2" t="s">
        <v>512</v>
      </c>
      <c r="E53" s="2" t="s">
        <v>534</v>
      </c>
      <c r="F53" s="2">
        <v>7</v>
      </c>
      <c r="G53" s="2">
        <v>425.77</v>
      </c>
      <c r="H53" s="2">
        <v>2980.39</v>
      </c>
      <c r="I53" s="2">
        <v>298.04000000000002</v>
      </c>
      <c r="J53" s="2">
        <v>3278.43</v>
      </c>
      <c r="K53">
        <f t="shared" si="0"/>
        <v>2980.39</v>
      </c>
      <c r="M53" t="str">
        <f t="shared" si="1"/>
        <v>HIGH</v>
      </c>
      <c r="N53" t="str">
        <f t="shared" si="2"/>
        <v>HIGH</v>
      </c>
    </row>
    <row r="54" spans="1:14" x14ac:dyDescent="0.35">
      <c r="A54" s="2">
        <v>473</v>
      </c>
      <c r="B54" s="3">
        <v>45385</v>
      </c>
      <c r="C54" s="2" t="s">
        <v>480</v>
      </c>
      <c r="D54" s="2" t="s">
        <v>516</v>
      </c>
      <c r="E54" s="2" t="s">
        <v>535</v>
      </c>
      <c r="F54" s="2">
        <v>8</v>
      </c>
      <c r="G54" s="2">
        <v>369.57</v>
      </c>
      <c r="H54" s="2">
        <v>2956.56</v>
      </c>
      <c r="I54" s="2">
        <v>295.66000000000003</v>
      </c>
      <c r="J54" s="2">
        <v>3252.22</v>
      </c>
      <c r="K54">
        <f t="shared" si="0"/>
        <v>2956.56</v>
      </c>
      <c r="M54" t="str">
        <f t="shared" si="1"/>
        <v>HIGH</v>
      </c>
      <c r="N54" t="str">
        <f t="shared" si="2"/>
        <v>HIGH</v>
      </c>
    </row>
    <row r="55" spans="1:14" x14ac:dyDescent="0.35">
      <c r="A55" s="2">
        <v>72</v>
      </c>
      <c r="B55" s="3">
        <v>45500</v>
      </c>
      <c r="C55" s="2" t="s">
        <v>81</v>
      </c>
      <c r="D55" s="2" t="s">
        <v>518</v>
      </c>
      <c r="E55" s="2" t="s">
        <v>533</v>
      </c>
      <c r="F55" s="2">
        <v>9</v>
      </c>
      <c r="G55" s="2">
        <v>326.60000000000002</v>
      </c>
      <c r="H55" s="2">
        <v>2939.4</v>
      </c>
      <c r="I55" s="2">
        <v>293.94</v>
      </c>
      <c r="J55" s="2">
        <v>3233.34</v>
      </c>
      <c r="K55">
        <f t="shared" si="0"/>
        <v>2939.4</v>
      </c>
      <c r="M55" t="str">
        <f t="shared" si="1"/>
        <v>HIGH</v>
      </c>
      <c r="N55" t="str">
        <f t="shared" si="2"/>
        <v>HIGH</v>
      </c>
    </row>
    <row r="56" spans="1:14" ht="29" x14ac:dyDescent="0.35">
      <c r="A56" s="2">
        <v>468</v>
      </c>
      <c r="B56" s="3">
        <v>45575</v>
      </c>
      <c r="C56" s="2" t="s">
        <v>475</v>
      </c>
      <c r="D56" s="2" t="s">
        <v>514</v>
      </c>
      <c r="E56" s="2" t="s">
        <v>534</v>
      </c>
      <c r="F56" s="2">
        <v>7</v>
      </c>
      <c r="G56" s="2">
        <v>419.48</v>
      </c>
      <c r="H56" s="2">
        <v>2936.36</v>
      </c>
      <c r="I56" s="2">
        <v>293.64</v>
      </c>
      <c r="J56" s="2">
        <v>3230</v>
      </c>
      <c r="K56">
        <f t="shared" si="0"/>
        <v>2936.36</v>
      </c>
      <c r="M56" t="str">
        <f t="shared" si="1"/>
        <v>HIGH</v>
      </c>
      <c r="N56" t="str">
        <f t="shared" si="2"/>
        <v>HIGH</v>
      </c>
    </row>
    <row r="57" spans="1:14" x14ac:dyDescent="0.35">
      <c r="A57" s="2">
        <v>162</v>
      </c>
      <c r="B57" s="3">
        <v>45332</v>
      </c>
      <c r="C57" s="2" t="s">
        <v>171</v>
      </c>
      <c r="D57" s="2" t="s">
        <v>512</v>
      </c>
      <c r="E57" s="2" t="s">
        <v>534</v>
      </c>
      <c r="F57" s="2">
        <v>6</v>
      </c>
      <c r="G57" s="2">
        <v>489.05</v>
      </c>
      <c r="H57" s="2">
        <v>2934.3</v>
      </c>
      <c r="I57" s="2">
        <v>293.43</v>
      </c>
      <c r="J57" s="2">
        <v>3227.73</v>
      </c>
      <c r="K57">
        <f t="shared" si="0"/>
        <v>2934.3</v>
      </c>
      <c r="M57" t="str">
        <f t="shared" si="1"/>
        <v>HIGH</v>
      </c>
      <c r="N57" t="str">
        <f t="shared" si="2"/>
        <v>HIGH</v>
      </c>
    </row>
    <row r="58" spans="1:14" ht="29" x14ac:dyDescent="0.35">
      <c r="A58" s="2">
        <v>279</v>
      </c>
      <c r="B58" s="3">
        <v>45450</v>
      </c>
      <c r="C58" s="2" t="s">
        <v>286</v>
      </c>
      <c r="D58" s="2" t="s">
        <v>527</v>
      </c>
      <c r="E58" s="2" t="s">
        <v>536</v>
      </c>
      <c r="F58" s="2">
        <v>8</v>
      </c>
      <c r="G58" s="2">
        <v>366.04</v>
      </c>
      <c r="H58" s="2">
        <v>2928.32</v>
      </c>
      <c r="I58" s="2">
        <v>292.83</v>
      </c>
      <c r="J58" s="2">
        <v>3221.15</v>
      </c>
      <c r="K58">
        <f t="shared" si="0"/>
        <v>2928.32</v>
      </c>
      <c r="M58" t="str">
        <f t="shared" si="1"/>
        <v>HIGH</v>
      </c>
      <c r="N58" t="str">
        <f t="shared" si="2"/>
        <v>HIGH</v>
      </c>
    </row>
    <row r="59" spans="1:14" x14ac:dyDescent="0.35">
      <c r="A59" s="2">
        <v>214</v>
      </c>
      <c r="B59" s="3">
        <v>45516</v>
      </c>
      <c r="C59" s="2" t="s">
        <v>223</v>
      </c>
      <c r="D59" s="2" t="s">
        <v>523</v>
      </c>
      <c r="E59" s="2" t="s">
        <v>534</v>
      </c>
      <c r="F59" s="2">
        <v>6</v>
      </c>
      <c r="G59" s="2">
        <v>486.38</v>
      </c>
      <c r="H59" s="2">
        <v>2918.28</v>
      </c>
      <c r="I59" s="2">
        <v>291.83</v>
      </c>
      <c r="J59" s="2">
        <v>3210.11</v>
      </c>
      <c r="K59">
        <f t="shared" si="0"/>
        <v>2918.2799999999997</v>
      </c>
      <c r="M59" t="str">
        <f t="shared" si="1"/>
        <v>HIGH</v>
      </c>
      <c r="N59" t="str">
        <f t="shared" si="2"/>
        <v>HIGH</v>
      </c>
    </row>
    <row r="60" spans="1:14" x14ac:dyDescent="0.35">
      <c r="A60" s="2">
        <v>349</v>
      </c>
      <c r="B60" s="3">
        <v>45418</v>
      </c>
      <c r="C60" s="2" t="s">
        <v>356</v>
      </c>
      <c r="D60" s="2" t="s">
        <v>521</v>
      </c>
      <c r="E60" s="2" t="s">
        <v>533</v>
      </c>
      <c r="F60" s="2">
        <v>6</v>
      </c>
      <c r="G60" s="2">
        <v>486.17</v>
      </c>
      <c r="H60" s="2">
        <v>2917.02</v>
      </c>
      <c r="I60" s="2">
        <v>291.7</v>
      </c>
      <c r="J60" s="2">
        <v>3208.72</v>
      </c>
      <c r="K60">
        <f t="shared" si="0"/>
        <v>2917.02</v>
      </c>
      <c r="M60" t="str">
        <f t="shared" si="1"/>
        <v>HIGH</v>
      </c>
      <c r="N60" t="str">
        <f t="shared" si="2"/>
        <v>HIGH</v>
      </c>
    </row>
    <row r="61" spans="1:14" ht="29" x14ac:dyDescent="0.35">
      <c r="A61" s="2">
        <v>319</v>
      </c>
      <c r="B61" s="3">
        <v>45341</v>
      </c>
      <c r="C61" s="2" t="s">
        <v>326</v>
      </c>
      <c r="D61" s="2" t="s">
        <v>514</v>
      </c>
      <c r="E61" s="2" t="s">
        <v>534</v>
      </c>
      <c r="F61" s="2">
        <v>9</v>
      </c>
      <c r="G61" s="2">
        <v>320.18</v>
      </c>
      <c r="H61" s="2">
        <v>2881.62</v>
      </c>
      <c r="I61" s="2">
        <v>288.16000000000003</v>
      </c>
      <c r="J61" s="2">
        <v>3169.78</v>
      </c>
      <c r="K61">
        <f t="shared" si="0"/>
        <v>2881.62</v>
      </c>
      <c r="M61" t="str">
        <f t="shared" si="1"/>
        <v>HIGH</v>
      </c>
      <c r="N61" t="str">
        <f t="shared" si="2"/>
        <v>HIGH</v>
      </c>
    </row>
    <row r="62" spans="1:14" ht="29" x14ac:dyDescent="0.35">
      <c r="A62" s="2">
        <v>477</v>
      </c>
      <c r="B62" s="3">
        <v>45556</v>
      </c>
      <c r="C62" s="2" t="s">
        <v>484</v>
      </c>
      <c r="D62" s="2" t="s">
        <v>513</v>
      </c>
      <c r="E62" s="2" t="s">
        <v>535</v>
      </c>
      <c r="F62" s="2">
        <v>7</v>
      </c>
      <c r="G62" s="2">
        <v>408.85</v>
      </c>
      <c r="H62" s="2">
        <v>2861.95</v>
      </c>
      <c r="I62" s="2">
        <v>286.19</v>
      </c>
      <c r="J62" s="2">
        <v>3148.14</v>
      </c>
      <c r="K62">
        <f t="shared" si="0"/>
        <v>2861.9500000000003</v>
      </c>
      <c r="M62" t="str">
        <f t="shared" si="1"/>
        <v>HIGH</v>
      </c>
      <c r="N62" t="str">
        <f t="shared" si="2"/>
        <v>HIGH</v>
      </c>
    </row>
    <row r="63" spans="1:14" ht="29" x14ac:dyDescent="0.35">
      <c r="A63" s="2">
        <v>487</v>
      </c>
      <c r="B63" s="3">
        <v>45501</v>
      </c>
      <c r="C63" s="2" t="s">
        <v>494</v>
      </c>
      <c r="D63" s="2" t="s">
        <v>524</v>
      </c>
      <c r="E63" s="2" t="s">
        <v>534</v>
      </c>
      <c r="F63" s="2">
        <v>6</v>
      </c>
      <c r="G63" s="2">
        <v>476.18</v>
      </c>
      <c r="H63" s="2">
        <v>2857.08</v>
      </c>
      <c r="I63" s="2">
        <v>285.70999999999998</v>
      </c>
      <c r="J63" s="2">
        <v>3142.79</v>
      </c>
      <c r="K63">
        <f t="shared" si="0"/>
        <v>2857.08</v>
      </c>
      <c r="M63" t="str">
        <f t="shared" si="1"/>
        <v>HIGH</v>
      </c>
      <c r="N63" t="str">
        <f t="shared" si="2"/>
        <v>HIGH</v>
      </c>
    </row>
    <row r="64" spans="1:14" x14ac:dyDescent="0.35">
      <c r="A64" s="2">
        <v>405</v>
      </c>
      <c r="B64" s="3">
        <v>45588</v>
      </c>
      <c r="C64" s="2" t="s">
        <v>412</v>
      </c>
      <c r="D64" s="2" t="s">
        <v>520</v>
      </c>
      <c r="E64" s="2" t="s">
        <v>536</v>
      </c>
      <c r="F64" s="2">
        <v>9</v>
      </c>
      <c r="G64" s="2">
        <v>316.64</v>
      </c>
      <c r="H64" s="2">
        <v>2849.76</v>
      </c>
      <c r="I64" s="2">
        <v>284.98</v>
      </c>
      <c r="J64" s="2">
        <v>3134.74</v>
      </c>
      <c r="K64">
        <f t="shared" si="0"/>
        <v>2849.7599999999998</v>
      </c>
      <c r="M64" t="str">
        <f t="shared" si="1"/>
        <v>HIGH</v>
      </c>
      <c r="N64" t="str">
        <f t="shared" si="2"/>
        <v>HIGH</v>
      </c>
    </row>
    <row r="65" spans="1:14" x14ac:dyDescent="0.35">
      <c r="A65" s="2">
        <v>331</v>
      </c>
      <c r="B65" s="3">
        <v>45648</v>
      </c>
      <c r="C65" s="2" t="s">
        <v>338</v>
      </c>
      <c r="D65" s="2" t="s">
        <v>519</v>
      </c>
      <c r="E65" s="2" t="s">
        <v>537</v>
      </c>
      <c r="F65" s="2">
        <v>10</v>
      </c>
      <c r="G65" s="2">
        <v>283.72000000000003</v>
      </c>
      <c r="H65" s="2">
        <v>2837.2</v>
      </c>
      <c r="I65" s="2">
        <v>283.72000000000003</v>
      </c>
      <c r="J65" s="2">
        <v>3120.92</v>
      </c>
      <c r="K65">
        <f t="shared" si="0"/>
        <v>2837.2000000000003</v>
      </c>
      <c r="M65" t="str">
        <f t="shared" si="1"/>
        <v>HIGH</v>
      </c>
      <c r="N65" t="str">
        <f t="shared" si="2"/>
        <v>HIGH</v>
      </c>
    </row>
    <row r="66" spans="1:14" ht="29" x14ac:dyDescent="0.35">
      <c r="A66" s="2">
        <v>106</v>
      </c>
      <c r="B66" s="3">
        <v>45529</v>
      </c>
      <c r="C66" s="2" t="s">
        <v>115</v>
      </c>
      <c r="D66" s="2" t="s">
        <v>515</v>
      </c>
      <c r="E66" s="2" t="s">
        <v>536</v>
      </c>
      <c r="F66" s="2">
        <v>10</v>
      </c>
      <c r="G66" s="2">
        <v>281.77</v>
      </c>
      <c r="H66" s="2">
        <v>2817.7</v>
      </c>
      <c r="I66" s="2">
        <v>281.77</v>
      </c>
      <c r="J66" s="2">
        <v>3099.47</v>
      </c>
      <c r="K66">
        <f t="shared" si="0"/>
        <v>2817.7</v>
      </c>
      <c r="M66" t="str">
        <f t="shared" si="1"/>
        <v>HIGH</v>
      </c>
      <c r="N66" t="str">
        <f t="shared" si="2"/>
        <v>HIGH</v>
      </c>
    </row>
    <row r="67" spans="1:14" x14ac:dyDescent="0.35">
      <c r="A67" s="2">
        <v>332</v>
      </c>
      <c r="B67" s="3">
        <v>45385</v>
      </c>
      <c r="C67" s="2" t="s">
        <v>339</v>
      </c>
      <c r="D67" s="2" t="s">
        <v>512</v>
      </c>
      <c r="E67" s="2" t="s">
        <v>534</v>
      </c>
      <c r="F67" s="2">
        <v>9</v>
      </c>
      <c r="G67" s="2">
        <v>312.47000000000003</v>
      </c>
      <c r="H67" s="2">
        <v>2812.23</v>
      </c>
      <c r="I67" s="2">
        <v>281.22000000000003</v>
      </c>
      <c r="J67" s="2">
        <v>3093.45</v>
      </c>
      <c r="K67">
        <f t="shared" ref="K67:K130" si="3">F67*G67</f>
        <v>2812.2300000000005</v>
      </c>
      <c r="M67" t="str">
        <f t="shared" ref="M67:M130" si="4">IF(H67&gt;2500,"HIGH","LOW")</f>
        <v>HIGH</v>
      </c>
      <c r="N67" t="str">
        <f t="shared" ref="N67:N130" si="5">IF(H67&gt;2500,"HIGH",IF(H67&lt;1000,"LOW","MEDIUM"))</f>
        <v>HIGH</v>
      </c>
    </row>
    <row r="68" spans="1:14" ht="29" x14ac:dyDescent="0.35">
      <c r="A68" s="2">
        <v>284</v>
      </c>
      <c r="B68" s="3">
        <v>45411</v>
      </c>
      <c r="C68" s="2" t="s">
        <v>291</v>
      </c>
      <c r="D68" s="2" t="s">
        <v>530</v>
      </c>
      <c r="E68" s="2" t="s">
        <v>537</v>
      </c>
      <c r="F68" s="2">
        <v>10</v>
      </c>
      <c r="G68" s="2">
        <v>280.2</v>
      </c>
      <c r="H68" s="2">
        <v>2802</v>
      </c>
      <c r="I68" s="2">
        <v>280.2</v>
      </c>
      <c r="J68" s="2">
        <v>3082.2</v>
      </c>
      <c r="K68">
        <f t="shared" si="3"/>
        <v>2802</v>
      </c>
      <c r="M68" t="str">
        <f t="shared" si="4"/>
        <v>HIGH</v>
      </c>
      <c r="N68" t="str">
        <f t="shared" si="5"/>
        <v>HIGH</v>
      </c>
    </row>
    <row r="69" spans="1:14" x14ac:dyDescent="0.35">
      <c r="A69" s="2">
        <v>146</v>
      </c>
      <c r="B69" s="3">
        <v>45523</v>
      </c>
      <c r="C69" s="2" t="s">
        <v>155</v>
      </c>
      <c r="D69" s="2" t="s">
        <v>513</v>
      </c>
      <c r="E69" s="2" t="s">
        <v>535</v>
      </c>
      <c r="F69" s="2">
        <v>7</v>
      </c>
      <c r="G69" s="2">
        <v>398.51</v>
      </c>
      <c r="H69" s="2">
        <v>2789.57</v>
      </c>
      <c r="I69" s="2">
        <v>278.95999999999998</v>
      </c>
      <c r="J69" s="2">
        <v>3068.53</v>
      </c>
      <c r="K69">
        <f t="shared" si="3"/>
        <v>2789.5699999999997</v>
      </c>
      <c r="M69" t="str">
        <f t="shared" si="4"/>
        <v>HIGH</v>
      </c>
      <c r="N69" t="str">
        <f t="shared" si="5"/>
        <v>HIGH</v>
      </c>
    </row>
    <row r="70" spans="1:14" ht="29" x14ac:dyDescent="0.35">
      <c r="A70" s="2">
        <v>304</v>
      </c>
      <c r="B70" s="3">
        <v>45343</v>
      </c>
      <c r="C70" s="2" t="s">
        <v>311</v>
      </c>
      <c r="D70" s="2" t="s">
        <v>514</v>
      </c>
      <c r="E70" s="2" t="s">
        <v>534</v>
      </c>
      <c r="F70" s="2">
        <v>6</v>
      </c>
      <c r="G70" s="2">
        <v>459.88</v>
      </c>
      <c r="H70" s="2">
        <v>2759.28</v>
      </c>
      <c r="I70" s="2">
        <v>275.93</v>
      </c>
      <c r="J70" s="2">
        <v>3035.21</v>
      </c>
      <c r="K70">
        <f t="shared" si="3"/>
        <v>2759.2799999999997</v>
      </c>
      <c r="M70" t="str">
        <f t="shared" si="4"/>
        <v>HIGH</v>
      </c>
      <c r="N70" t="str">
        <f t="shared" si="5"/>
        <v>HIGH</v>
      </c>
    </row>
    <row r="71" spans="1:14" x14ac:dyDescent="0.35">
      <c r="A71" s="2">
        <v>168</v>
      </c>
      <c r="B71" s="3">
        <v>45335</v>
      </c>
      <c r="C71" s="2" t="s">
        <v>177</v>
      </c>
      <c r="D71" s="2" t="s">
        <v>525</v>
      </c>
      <c r="E71" s="2" t="s">
        <v>535</v>
      </c>
      <c r="F71" s="2">
        <v>9</v>
      </c>
      <c r="G71" s="2">
        <v>306.52</v>
      </c>
      <c r="H71" s="2">
        <v>2758.68</v>
      </c>
      <c r="I71" s="2">
        <v>275.87</v>
      </c>
      <c r="J71" s="2">
        <v>3034.55</v>
      </c>
      <c r="K71">
        <f t="shared" si="3"/>
        <v>2758.68</v>
      </c>
      <c r="M71" t="str">
        <f t="shared" si="4"/>
        <v>HIGH</v>
      </c>
      <c r="N71" t="str">
        <f t="shared" si="5"/>
        <v>HIGH</v>
      </c>
    </row>
    <row r="72" spans="1:14" ht="29" x14ac:dyDescent="0.35">
      <c r="A72" s="2">
        <v>451</v>
      </c>
      <c r="B72" s="3">
        <v>45611</v>
      </c>
      <c r="C72" s="2" t="s">
        <v>458</v>
      </c>
      <c r="D72" s="2" t="s">
        <v>530</v>
      </c>
      <c r="E72" s="2" t="s">
        <v>537</v>
      </c>
      <c r="F72" s="2">
        <v>6</v>
      </c>
      <c r="G72" s="2">
        <v>456.92</v>
      </c>
      <c r="H72" s="2">
        <v>2741.52</v>
      </c>
      <c r="I72" s="2">
        <v>274.14999999999998</v>
      </c>
      <c r="J72" s="2">
        <v>3015.67</v>
      </c>
      <c r="K72">
        <f t="shared" si="3"/>
        <v>2741.52</v>
      </c>
      <c r="M72" t="str">
        <f t="shared" si="4"/>
        <v>HIGH</v>
      </c>
      <c r="N72" t="str">
        <f t="shared" si="5"/>
        <v>HIGH</v>
      </c>
    </row>
    <row r="73" spans="1:14" ht="29" x14ac:dyDescent="0.35">
      <c r="A73" s="2">
        <v>363</v>
      </c>
      <c r="B73" s="3">
        <v>45524</v>
      </c>
      <c r="C73" s="2" t="s">
        <v>370</v>
      </c>
      <c r="D73" s="2" t="s">
        <v>526</v>
      </c>
      <c r="E73" s="2" t="s">
        <v>537</v>
      </c>
      <c r="F73" s="2">
        <v>6</v>
      </c>
      <c r="G73" s="2">
        <v>454.59</v>
      </c>
      <c r="H73" s="2">
        <v>2727.54</v>
      </c>
      <c r="I73" s="2">
        <v>272.75</v>
      </c>
      <c r="J73" s="2">
        <v>3000.29</v>
      </c>
      <c r="K73">
        <f t="shared" si="3"/>
        <v>2727.54</v>
      </c>
      <c r="M73" t="str">
        <f t="shared" si="4"/>
        <v>HIGH</v>
      </c>
      <c r="N73" t="str">
        <f t="shared" si="5"/>
        <v>HIGH</v>
      </c>
    </row>
    <row r="74" spans="1:14" x14ac:dyDescent="0.35">
      <c r="A74" s="2">
        <v>466</v>
      </c>
      <c r="B74" s="3">
        <v>45662</v>
      </c>
      <c r="C74" s="2" t="s">
        <v>473</v>
      </c>
      <c r="D74" s="2" t="s">
        <v>510</v>
      </c>
      <c r="E74" s="2" t="s">
        <v>533</v>
      </c>
      <c r="F74" s="2">
        <v>7</v>
      </c>
      <c r="G74" s="2">
        <v>386.81</v>
      </c>
      <c r="H74" s="2">
        <v>2707.67</v>
      </c>
      <c r="I74" s="2">
        <v>270.77</v>
      </c>
      <c r="J74" s="2">
        <v>2978.44</v>
      </c>
      <c r="K74">
        <f t="shared" si="3"/>
        <v>2707.67</v>
      </c>
      <c r="M74" t="str">
        <f t="shared" si="4"/>
        <v>HIGH</v>
      </c>
      <c r="N74" t="str">
        <f t="shared" si="5"/>
        <v>HIGH</v>
      </c>
    </row>
    <row r="75" spans="1:14" ht="29" x14ac:dyDescent="0.35">
      <c r="A75" s="2">
        <v>462</v>
      </c>
      <c r="B75" s="3">
        <v>45492</v>
      </c>
      <c r="C75" s="2" t="s">
        <v>469</v>
      </c>
      <c r="D75" s="2" t="s">
        <v>517</v>
      </c>
      <c r="E75" s="2" t="s">
        <v>537</v>
      </c>
      <c r="F75" s="2">
        <v>6</v>
      </c>
      <c r="G75" s="2">
        <v>449.63</v>
      </c>
      <c r="H75" s="2">
        <v>2697.78</v>
      </c>
      <c r="I75" s="2">
        <v>269.77999999999997</v>
      </c>
      <c r="J75" s="2">
        <v>2967.56</v>
      </c>
      <c r="K75">
        <f t="shared" si="3"/>
        <v>2697.7799999999997</v>
      </c>
      <c r="M75" t="str">
        <f t="shared" si="4"/>
        <v>HIGH</v>
      </c>
      <c r="N75" t="str">
        <f t="shared" si="5"/>
        <v>HIGH</v>
      </c>
    </row>
    <row r="76" spans="1:14" x14ac:dyDescent="0.35">
      <c r="A76" s="2">
        <v>54</v>
      </c>
      <c r="B76" s="3">
        <v>45545</v>
      </c>
      <c r="C76" s="2" t="s">
        <v>63</v>
      </c>
      <c r="D76" s="2" t="s">
        <v>520</v>
      </c>
      <c r="E76" s="2" t="s">
        <v>536</v>
      </c>
      <c r="F76" s="2">
        <v>7</v>
      </c>
      <c r="G76" s="2">
        <v>383.27</v>
      </c>
      <c r="H76" s="2">
        <v>2682.89</v>
      </c>
      <c r="I76" s="2">
        <v>268.29000000000002</v>
      </c>
      <c r="J76" s="2">
        <v>2951.18</v>
      </c>
      <c r="K76">
        <f t="shared" si="3"/>
        <v>2682.89</v>
      </c>
      <c r="M76" t="str">
        <f t="shared" si="4"/>
        <v>HIGH</v>
      </c>
      <c r="N76" t="str">
        <f t="shared" si="5"/>
        <v>HIGH</v>
      </c>
    </row>
    <row r="77" spans="1:14" x14ac:dyDescent="0.35">
      <c r="A77" s="2">
        <v>96</v>
      </c>
      <c r="B77" s="3">
        <v>45427</v>
      </c>
      <c r="C77" s="2" t="s">
        <v>105</v>
      </c>
      <c r="D77" s="2" t="s">
        <v>511</v>
      </c>
      <c r="E77" s="2" t="s">
        <v>535</v>
      </c>
      <c r="F77" s="2">
        <v>6</v>
      </c>
      <c r="G77" s="2">
        <v>446.91</v>
      </c>
      <c r="H77" s="2">
        <v>2681.46</v>
      </c>
      <c r="I77" s="2">
        <v>268.14999999999998</v>
      </c>
      <c r="J77" s="2">
        <v>2949.61</v>
      </c>
      <c r="K77">
        <f t="shared" si="3"/>
        <v>2681.46</v>
      </c>
      <c r="M77" t="str">
        <f t="shared" si="4"/>
        <v>HIGH</v>
      </c>
      <c r="N77" t="str">
        <f t="shared" si="5"/>
        <v>HIGH</v>
      </c>
    </row>
    <row r="78" spans="1:14" ht="29" x14ac:dyDescent="0.35">
      <c r="A78" s="2">
        <v>182</v>
      </c>
      <c r="B78" s="3">
        <v>45535</v>
      </c>
      <c r="C78" s="2" t="s">
        <v>191</v>
      </c>
      <c r="D78" s="2" t="s">
        <v>514</v>
      </c>
      <c r="E78" s="2" t="s">
        <v>534</v>
      </c>
      <c r="F78" s="2">
        <v>6</v>
      </c>
      <c r="G78" s="2">
        <v>445.29</v>
      </c>
      <c r="H78" s="2">
        <v>2671.74</v>
      </c>
      <c r="I78" s="2">
        <v>267.17</v>
      </c>
      <c r="J78" s="2">
        <v>2938.91</v>
      </c>
      <c r="K78">
        <f t="shared" si="3"/>
        <v>2671.7400000000002</v>
      </c>
      <c r="M78" t="str">
        <f t="shared" si="4"/>
        <v>HIGH</v>
      </c>
      <c r="N78" t="str">
        <f t="shared" si="5"/>
        <v>HIGH</v>
      </c>
    </row>
    <row r="79" spans="1:14" ht="29" x14ac:dyDescent="0.35">
      <c r="A79" s="2">
        <v>490</v>
      </c>
      <c r="B79" s="3">
        <v>45532</v>
      </c>
      <c r="C79" s="2" t="s">
        <v>497</v>
      </c>
      <c r="D79" s="2" t="s">
        <v>515</v>
      </c>
      <c r="E79" s="2" t="s">
        <v>536</v>
      </c>
      <c r="F79" s="2">
        <v>7</v>
      </c>
      <c r="G79" s="2">
        <v>379.66</v>
      </c>
      <c r="H79" s="2">
        <v>2657.62</v>
      </c>
      <c r="I79" s="2">
        <v>265.76</v>
      </c>
      <c r="J79" s="2">
        <v>2923.38</v>
      </c>
      <c r="K79">
        <f t="shared" si="3"/>
        <v>2657.6200000000003</v>
      </c>
      <c r="M79" t="str">
        <f t="shared" si="4"/>
        <v>HIGH</v>
      </c>
      <c r="N79" t="str">
        <f t="shared" si="5"/>
        <v>HIGH</v>
      </c>
    </row>
    <row r="80" spans="1:14" x14ac:dyDescent="0.35">
      <c r="A80" s="2">
        <v>285</v>
      </c>
      <c r="B80" s="3">
        <v>45338</v>
      </c>
      <c r="C80" s="2" t="s">
        <v>292</v>
      </c>
      <c r="D80" s="2" t="s">
        <v>509</v>
      </c>
      <c r="E80" s="2" t="s">
        <v>534</v>
      </c>
      <c r="F80" s="2">
        <v>10</v>
      </c>
      <c r="G80" s="2">
        <v>265.38</v>
      </c>
      <c r="H80" s="2">
        <v>2653.8</v>
      </c>
      <c r="I80" s="2">
        <v>265.38</v>
      </c>
      <c r="J80" s="2">
        <v>2919.18</v>
      </c>
      <c r="K80">
        <f t="shared" si="3"/>
        <v>2653.8</v>
      </c>
      <c r="M80" t="str">
        <f t="shared" si="4"/>
        <v>HIGH</v>
      </c>
      <c r="N80" t="str">
        <f t="shared" si="5"/>
        <v>HIGH</v>
      </c>
    </row>
    <row r="81" spans="1:14" ht="29" x14ac:dyDescent="0.35">
      <c r="A81" s="2">
        <v>326</v>
      </c>
      <c r="B81" s="3">
        <v>45640</v>
      </c>
      <c r="C81" s="2" t="s">
        <v>333</v>
      </c>
      <c r="D81" s="2" t="s">
        <v>526</v>
      </c>
      <c r="E81" s="2" t="s">
        <v>537</v>
      </c>
      <c r="F81" s="2">
        <v>8</v>
      </c>
      <c r="G81" s="2">
        <v>331.37</v>
      </c>
      <c r="H81" s="2">
        <v>2650.96</v>
      </c>
      <c r="I81" s="2">
        <v>265.10000000000002</v>
      </c>
      <c r="J81" s="2">
        <v>2916.06</v>
      </c>
      <c r="K81">
        <f t="shared" si="3"/>
        <v>2650.96</v>
      </c>
      <c r="M81" t="str">
        <f t="shared" si="4"/>
        <v>HIGH</v>
      </c>
      <c r="N81" t="str">
        <f t="shared" si="5"/>
        <v>HIGH</v>
      </c>
    </row>
    <row r="82" spans="1:14" ht="29" x14ac:dyDescent="0.35">
      <c r="A82" s="2">
        <v>226</v>
      </c>
      <c r="B82" s="3">
        <v>45465</v>
      </c>
      <c r="C82" s="2" t="s">
        <v>235</v>
      </c>
      <c r="D82" s="2" t="s">
        <v>515</v>
      </c>
      <c r="E82" s="2" t="s">
        <v>536</v>
      </c>
      <c r="F82" s="2">
        <v>10</v>
      </c>
      <c r="G82" s="2">
        <v>263.77999999999997</v>
      </c>
      <c r="H82" s="2">
        <v>2637.8</v>
      </c>
      <c r="I82" s="2">
        <v>263.77999999999997</v>
      </c>
      <c r="J82" s="2">
        <v>2901.58</v>
      </c>
      <c r="K82">
        <f t="shared" si="3"/>
        <v>2637.7999999999997</v>
      </c>
      <c r="M82" t="str">
        <f t="shared" si="4"/>
        <v>HIGH</v>
      </c>
      <c r="N82" t="str">
        <f t="shared" si="5"/>
        <v>HIGH</v>
      </c>
    </row>
    <row r="83" spans="1:14" x14ac:dyDescent="0.35">
      <c r="A83" s="2">
        <v>75</v>
      </c>
      <c r="B83" s="3">
        <v>45650</v>
      </c>
      <c r="C83" s="2" t="s">
        <v>84</v>
      </c>
      <c r="D83" s="2" t="s">
        <v>511</v>
      </c>
      <c r="E83" s="2" t="s">
        <v>535</v>
      </c>
      <c r="F83" s="2">
        <v>6</v>
      </c>
      <c r="G83" s="2">
        <v>435.09</v>
      </c>
      <c r="H83" s="2">
        <v>2610.54</v>
      </c>
      <c r="I83" s="2">
        <v>261.05</v>
      </c>
      <c r="J83" s="2">
        <v>2871.59</v>
      </c>
      <c r="K83">
        <f t="shared" si="3"/>
        <v>2610.54</v>
      </c>
      <c r="M83" t="str">
        <f t="shared" si="4"/>
        <v>HIGH</v>
      </c>
      <c r="N83" t="str">
        <f t="shared" si="5"/>
        <v>HIGH</v>
      </c>
    </row>
    <row r="84" spans="1:14" x14ac:dyDescent="0.35">
      <c r="A84" s="2">
        <v>364</v>
      </c>
      <c r="B84" s="3">
        <v>45612</v>
      </c>
      <c r="C84" s="2" t="s">
        <v>371</v>
      </c>
      <c r="D84" s="2" t="s">
        <v>511</v>
      </c>
      <c r="E84" s="2" t="s">
        <v>535</v>
      </c>
      <c r="F84" s="2">
        <v>6</v>
      </c>
      <c r="G84" s="2">
        <v>435.04</v>
      </c>
      <c r="H84" s="2">
        <v>2610.2399999999998</v>
      </c>
      <c r="I84" s="2">
        <v>261.02</v>
      </c>
      <c r="J84" s="2">
        <v>2871.26</v>
      </c>
      <c r="K84">
        <f t="shared" si="3"/>
        <v>2610.2400000000002</v>
      </c>
      <c r="M84" t="str">
        <f t="shared" si="4"/>
        <v>HIGH</v>
      </c>
      <c r="N84" t="str">
        <f t="shared" si="5"/>
        <v>HIGH</v>
      </c>
    </row>
    <row r="85" spans="1:14" ht="29" x14ac:dyDescent="0.35">
      <c r="A85" s="2">
        <v>286</v>
      </c>
      <c r="B85" s="3">
        <v>45499</v>
      </c>
      <c r="C85" s="2" t="s">
        <v>293</v>
      </c>
      <c r="D85" s="2" t="s">
        <v>517</v>
      </c>
      <c r="E85" s="2" t="s">
        <v>537</v>
      </c>
      <c r="F85" s="2">
        <v>7</v>
      </c>
      <c r="G85" s="2">
        <v>372.19</v>
      </c>
      <c r="H85" s="2">
        <v>2605.33</v>
      </c>
      <c r="I85" s="2">
        <v>260.52999999999997</v>
      </c>
      <c r="J85" s="2">
        <v>2865.86</v>
      </c>
      <c r="K85">
        <f t="shared" si="3"/>
        <v>2605.33</v>
      </c>
      <c r="M85" t="str">
        <f t="shared" si="4"/>
        <v>HIGH</v>
      </c>
      <c r="N85" t="str">
        <f t="shared" si="5"/>
        <v>HIGH</v>
      </c>
    </row>
    <row r="86" spans="1:14" ht="29" x14ac:dyDescent="0.35">
      <c r="A86" s="2">
        <v>343</v>
      </c>
      <c r="B86" s="3">
        <v>45398</v>
      </c>
      <c r="C86" s="2" t="s">
        <v>350</v>
      </c>
      <c r="D86" s="2" t="s">
        <v>529</v>
      </c>
      <c r="E86" s="2" t="s">
        <v>535</v>
      </c>
      <c r="F86" s="2">
        <v>6</v>
      </c>
      <c r="G86" s="2">
        <v>434.13</v>
      </c>
      <c r="H86" s="2">
        <v>2604.7800000000002</v>
      </c>
      <c r="I86" s="2">
        <v>260.48</v>
      </c>
      <c r="J86" s="2">
        <v>2865.26</v>
      </c>
      <c r="K86">
        <f t="shared" si="3"/>
        <v>2604.7799999999997</v>
      </c>
      <c r="M86" t="str">
        <f t="shared" si="4"/>
        <v>HIGH</v>
      </c>
      <c r="N86" t="str">
        <f t="shared" si="5"/>
        <v>HIGH</v>
      </c>
    </row>
    <row r="87" spans="1:14" ht="29" x14ac:dyDescent="0.35">
      <c r="A87" s="2">
        <v>52</v>
      </c>
      <c r="B87" s="3">
        <v>45389</v>
      </c>
      <c r="C87" s="2" t="s">
        <v>61</v>
      </c>
      <c r="D87" s="2" t="s">
        <v>516</v>
      </c>
      <c r="E87" s="2" t="s">
        <v>535</v>
      </c>
      <c r="F87" s="2">
        <v>8</v>
      </c>
      <c r="G87" s="2">
        <v>319.41000000000003</v>
      </c>
      <c r="H87" s="2">
        <v>2555.2800000000002</v>
      </c>
      <c r="I87" s="2">
        <v>255.53</v>
      </c>
      <c r="J87" s="2">
        <v>2810.81</v>
      </c>
      <c r="K87">
        <f t="shared" si="3"/>
        <v>2555.2800000000002</v>
      </c>
      <c r="M87" t="str">
        <f t="shared" si="4"/>
        <v>HIGH</v>
      </c>
      <c r="N87" t="str">
        <f t="shared" si="5"/>
        <v>HIGH</v>
      </c>
    </row>
    <row r="88" spans="1:14" ht="29" x14ac:dyDescent="0.35">
      <c r="A88" s="2">
        <v>249</v>
      </c>
      <c r="B88" s="3">
        <v>45505</v>
      </c>
      <c r="C88" s="2" t="s">
        <v>258</v>
      </c>
      <c r="D88" s="2" t="s">
        <v>521</v>
      </c>
      <c r="E88" s="2" t="s">
        <v>533</v>
      </c>
      <c r="F88" s="2">
        <v>8</v>
      </c>
      <c r="G88" s="2">
        <v>315.33</v>
      </c>
      <c r="H88" s="2">
        <v>2522.64</v>
      </c>
      <c r="I88" s="2">
        <v>252.26</v>
      </c>
      <c r="J88" s="2">
        <v>2774.9</v>
      </c>
      <c r="K88">
        <f t="shared" si="3"/>
        <v>2522.64</v>
      </c>
      <c r="M88" t="str">
        <f t="shared" si="4"/>
        <v>HIGH</v>
      </c>
      <c r="N88" t="str">
        <f t="shared" si="5"/>
        <v>HIGH</v>
      </c>
    </row>
    <row r="89" spans="1:14" x14ac:dyDescent="0.35">
      <c r="A89" s="2">
        <v>375</v>
      </c>
      <c r="B89" s="3">
        <v>45404</v>
      </c>
      <c r="C89" s="2" t="s">
        <v>382</v>
      </c>
      <c r="D89" s="2" t="s">
        <v>532</v>
      </c>
      <c r="E89" s="2" t="s">
        <v>537</v>
      </c>
      <c r="F89" s="2">
        <v>6</v>
      </c>
      <c r="G89" s="2">
        <v>418.06</v>
      </c>
      <c r="H89" s="2">
        <v>2508.36</v>
      </c>
      <c r="I89" s="2">
        <v>250.84</v>
      </c>
      <c r="J89" s="2">
        <v>2759.2</v>
      </c>
      <c r="K89">
        <f t="shared" si="3"/>
        <v>2508.36</v>
      </c>
      <c r="M89" t="str">
        <f t="shared" si="4"/>
        <v>HIGH</v>
      </c>
      <c r="N89" t="str">
        <f t="shared" si="5"/>
        <v>HIGH</v>
      </c>
    </row>
    <row r="90" spans="1:14" ht="29" x14ac:dyDescent="0.35">
      <c r="A90" s="2">
        <v>208</v>
      </c>
      <c r="B90" s="3">
        <v>45594</v>
      </c>
      <c r="C90" s="2" t="s">
        <v>217</v>
      </c>
      <c r="D90" s="2" t="s">
        <v>530</v>
      </c>
      <c r="E90" s="2" t="s">
        <v>537</v>
      </c>
      <c r="F90" s="2">
        <v>6</v>
      </c>
      <c r="G90" s="2">
        <v>415.93</v>
      </c>
      <c r="H90" s="2">
        <v>2495.58</v>
      </c>
      <c r="I90" s="2">
        <v>249.56</v>
      </c>
      <c r="J90" s="2">
        <v>2745.14</v>
      </c>
      <c r="K90">
        <f t="shared" si="3"/>
        <v>2495.58</v>
      </c>
      <c r="M90" t="str">
        <f t="shared" si="4"/>
        <v>LOW</v>
      </c>
      <c r="N90" t="str">
        <f t="shared" si="5"/>
        <v>MEDIUM</v>
      </c>
    </row>
    <row r="91" spans="1:14" ht="29" x14ac:dyDescent="0.35">
      <c r="A91" s="2">
        <v>110</v>
      </c>
      <c r="B91" s="3">
        <v>45506</v>
      </c>
      <c r="C91" s="2" t="s">
        <v>119</v>
      </c>
      <c r="D91" s="2" t="s">
        <v>524</v>
      </c>
      <c r="E91" s="2" t="s">
        <v>534</v>
      </c>
      <c r="F91" s="2">
        <v>9</v>
      </c>
      <c r="G91" s="2">
        <v>275.47000000000003</v>
      </c>
      <c r="H91" s="2">
        <v>2479.23</v>
      </c>
      <c r="I91" s="2">
        <v>247.92</v>
      </c>
      <c r="J91" s="2">
        <v>2727.15</v>
      </c>
      <c r="K91">
        <f t="shared" si="3"/>
        <v>2479.2300000000005</v>
      </c>
      <c r="M91" t="str">
        <f t="shared" si="4"/>
        <v>LOW</v>
      </c>
      <c r="N91" t="str">
        <f t="shared" si="5"/>
        <v>MEDIUM</v>
      </c>
    </row>
    <row r="92" spans="1:14" ht="29" x14ac:dyDescent="0.35">
      <c r="A92" s="2">
        <v>260</v>
      </c>
      <c r="B92" s="3">
        <v>45588</v>
      </c>
      <c r="C92" s="2" t="s">
        <v>269</v>
      </c>
      <c r="D92" s="2" t="s">
        <v>527</v>
      </c>
      <c r="E92" s="2" t="s">
        <v>536</v>
      </c>
      <c r="F92" s="2">
        <v>7</v>
      </c>
      <c r="G92" s="2">
        <v>353.43</v>
      </c>
      <c r="H92" s="2">
        <v>2474.0100000000002</v>
      </c>
      <c r="I92" s="2">
        <v>247.4</v>
      </c>
      <c r="J92" s="2">
        <v>2721.41</v>
      </c>
      <c r="K92">
        <f t="shared" si="3"/>
        <v>2474.0100000000002</v>
      </c>
      <c r="M92" t="str">
        <f t="shared" si="4"/>
        <v>LOW</v>
      </c>
      <c r="N92" t="str">
        <f t="shared" si="5"/>
        <v>MEDIUM</v>
      </c>
    </row>
    <row r="93" spans="1:14" x14ac:dyDescent="0.35">
      <c r="A93" s="2">
        <v>353</v>
      </c>
      <c r="B93" s="3">
        <v>45359</v>
      </c>
      <c r="C93" s="2" t="s">
        <v>360</v>
      </c>
      <c r="D93" s="2" t="s">
        <v>525</v>
      </c>
      <c r="E93" s="2" t="s">
        <v>535</v>
      </c>
      <c r="F93" s="2">
        <v>10</v>
      </c>
      <c r="G93" s="2">
        <v>247.39</v>
      </c>
      <c r="H93" s="2">
        <v>2473.9</v>
      </c>
      <c r="I93" s="2">
        <v>247.39</v>
      </c>
      <c r="J93" s="2">
        <v>2721.29</v>
      </c>
      <c r="K93">
        <f t="shared" si="3"/>
        <v>2473.8999999999996</v>
      </c>
      <c r="M93" t="str">
        <f t="shared" si="4"/>
        <v>LOW</v>
      </c>
      <c r="N93" t="str">
        <f t="shared" si="5"/>
        <v>MEDIUM</v>
      </c>
    </row>
    <row r="94" spans="1:14" ht="29" x14ac:dyDescent="0.35">
      <c r="A94" s="2">
        <v>192</v>
      </c>
      <c r="B94" s="3">
        <v>45544</v>
      </c>
      <c r="C94" s="2" t="s">
        <v>201</v>
      </c>
      <c r="D94" s="2" t="s">
        <v>517</v>
      </c>
      <c r="E94" s="2" t="s">
        <v>537</v>
      </c>
      <c r="F94" s="2">
        <v>5</v>
      </c>
      <c r="G94" s="2">
        <v>493.48</v>
      </c>
      <c r="H94" s="2">
        <v>2467.4</v>
      </c>
      <c r="I94" s="2">
        <v>246.74</v>
      </c>
      <c r="J94" s="2">
        <v>2714.14</v>
      </c>
      <c r="K94">
        <f t="shared" si="3"/>
        <v>2467.4</v>
      </c>
      <c r="M94" t="str">
        <f t="shared" si="4"/>
        <v>LOW</v>
      </c>
      <c r="N94" t="str">
        <f t="shared" si="5"/>
        <v>MEDIUM</v>
      </c>
    </row>
    <row r="95" spans="1:14" ht="29" x14ac:dyDescent="0.35">
      <c r="A95" s="2">
        <v>322</v>
      </c>
      <c r="B95" s="3">
        <v>45591</v>
      </c>
      <c r="C95" s="2" t="s">
        <v>329</v>
      </c>
      <c r="D95" s="2" t="s">
        <v>514</v>
      </c>
      <c r="E95" s="2" t="s">
        <v>534</v>
      </c>
      <c r="F95" s="2">
        <v>5</v>
      </c>
      <c r="G95" s="2">
        <v>491.31</v>
      </c>
      <c r="H95" s="2">
        <v>2456.5500000000002</v>
      </c>
      <c r="I95" s="2">
        <v>245.66</v>
      </c>
      <c r="J95" s="2">
        <v>2702.21</v>
      </c>
      <c r="K95">
        <f t="shared" si="3"/>
        <v>2456.5500000000002</v>
      </c>
      <c r="M95" t="str">
        <f t="shared" si="4"/>
        <v>LOW</v>
      </c>
      <c r="N95" t="str">
        <f t="shared" si="5"/>
        <v>MEDIUM</v>
      </c>
    </row>
    <row r="96" spans="1:14" ht="29" x14ac:dyDescent="0.35">
      <c r="A96" s="2">
        <v>417</v>
      </c>
      <c r="B96" s="3">
        <v>45407</v>
      </c>
      <c r="C96" s="2" t="s">
        <v>424</v>
      </c>
      <c r="D96" s="2" t="s">
        <v>512</v>
      </c>
      <c r="E96" s="2" t="s">
        <v>534</v>
      </c>
      <c r="F96" s="2">
        <v>8</v>
      </c>
      <c r="G96" s="2">
        <v>306.98</v>
      </c>
      <c r="H96" s="2">
        <v>2455.84</v>
      </c>
      <c r="I96" s="2">
        <v>245.58</v>
      </c>
      <c r="J96" s="2">
        <v>2701.42</v>
      </c>
      <c r="K96">
        <f t="shared" si="3"/>
        <v>2455.84</v>
      </c>
      <c r="M96" t="str">
        <f t="shared" si="4"/>
        <v>LOW</v>
      </c>
      <c r="N96" t="str">
        <f t="shared" si="5"/>
        <v>MEDIUM</v>
      </c>
    </row>
    <row r="97" spans="1:14" ht="29" x14ac:dyDescent="0.35">
      <c r="A97" s="2">
        <v>173</v>
      </c>
      <c r="B97" s="3">
        <v>45528</v>
      </c>
      <c r="C97" s="2" t="s">
        <v>182</v>
      </c>
      <c r="D97" s="2" t="s">
        <v>527</v>
      </c>
      <c r="E97" s="2" t="s">
        <v>536</v>
      </c>
      <c r="F97" s="2">
        <v>5</v>
      </c>
      <c r="G97" s="2">
        <v>490.23</v>
      </c>
      <c r="H97" s="2">
        <v>2451.15</v>
      </c>
      <c r="I97" s="2">
        <v>245.12</v>
      </c>
      <c r="J97" s="2">
        <v>2696.27</v>
      </c>
      <c r="K97">
        <f t="shared" si="3"/>
        <v>2451.15</v>
      </c>
      <c r="M97" t="str">
        <f t="shared" si="4"/>
        <v>LOW</v>
      </c>
      <c r="N97" t="str">
        <f t="shared" si="5"/>
        <v>MEDIUM</v>
      </c>
    </row>
    <row r="98" spans="1:14" ht="29" x14ac:dyDescent="0.35">
      <c r="A98" s="2">
        <v>172</v>
      </c>
      <c r="B98" s="3">
        <v>45353</v>
      </c>
      <c r="C98" s="2" t="s">
        <v>181</v>
      </c>
      <c r="D98" s="2" t="s">
        <v>508</v>
      </c>
      <c r="E98" s="2" t="s">
        <v>533</v>
      </c>
      <c r="F98" s="2">
        <v>7</v>
      </c>
      <c r="G98" s="2">
        <v>349.57</v>
      </c>
      <c r="H98" s="2">
        <v>2446.9899999999998</v>
      </c>
      <c r="I98" s="2">
        <v>244.7</v>
      </c>
      <c r="J98" s="2">
        <v>2691.69</v>
      </c>
      <c r="K98">
        <f t="shared" si="3"/>
        <v>2446.9899999999998</v>
      </c>
      <c r="M98" t="str">
        <f t="shared" si="4"/>
        <v>LOW</v>
      </c>
      <c r="N98" t="str">
        <f t="shared" si="5"/>
        <v>MEDIUM</v>
      </c>
    </row>
    <row r="99" spans="1:14" x14ac:dyDescent="0.35">
      <c r="A99" s="2">
        <v>306</v>
      </c>
      <c r="B99" s="3">
        <v>45351</v>
      </c>
      <c r="C99" s="2" t="s">
        <v>313</v>
      </c>
      <c r="D99" s="2" t="s">
        <v>526</v>
      </c>
      <c r="E99" s="2" t="s">
        <v>537</v>
      </c>
      <c r="F99" s="2">
        <v>5</v>
      </c>
      <c r="G99" s="2">
        <v>485.01</v>
      </c>
      <c r="H99" s="2">
        <v>2425.0500000000002</v>
      </c>
      <c r="I99" s="2">
        <v>242.51</v>
      </c>
      <c r="J99" s="2">
        <v>2667.56</v>
      </c>
      <c r="K99">
        <f t="shared" si="3"/>
        <v>2425.0500000000002</v>
      </c>
      <c r="M99" t="str">
        <f t="shared" si="4"/>
        <v>LOW</v>
      </c>
      <c r="N99" t="str">
        <f t="shared" si="5"/>
        <v>MEDIUM</v>
      </c>
    </row>
    <row r="100" spans="1:14" x14ac:dyDescent="0.35">
      <c r="A100" s="2">
        <v>165</v>
      </c>
      <c r="B100" s="3">
        <v>45687</v>
      </c>
      <c r="C100" s="2" t="s">
        <v>174</v>
      </c>
      <c r="D100" s="2" t="s">
        <v>512</v>
      </c>
      <c r="E100" s="2" t="s">
        <v>534</v>
      </c>
      <c r="F100" s="2">
        <v>7</v>
      </c>
      <c r="G100" s="2">
        <v>346.43</v>
      </c>
      <c r="H100" s="2">
        <v>2425.0100000000002</v>
      </c>
      <c r="I100" s="2">
        <v>242.5</v>
      </c>
      <c r="J100" s="2">
        <v>2667.51</v>
      </c>
      <c r="K100">
        <f t="shared" si="3"/>
        <v>2425.0100000000002</v>
      </c>
      <c r="M100" t="str">
        <f t="shared" si="4"/>
        <v>LOW</v>
      </c>
      <c r="N100" t="str">
        <f t="shared" si="5"/>
        <v>MEDIUM</v>
      </c>
    </row>
    <row r="101" spans="1:14" x14ac:dyDescent="0.35">
      <c r="A101" s="2">
        <v>88</v>
      </c>
      <c r="B101" s="3">
        <v>45388</v>
      </c>
      <c r="C101" s="2" t="s">
        <v>97</v>
      </c>
      <c r="D101" s="2" t="s">
        <v>529</v>
      </c>
      <c r="E101" s="2" t="s">
        <v>535</v>
      </c>
      <c r="F101" s="2">
        <v>6</v>
      </c>
      <c r="G101" s="2">
        <v>403.62</v>
      </c>
      <c r="H101" s="2">
        <v>2421.7199999999998</v>
      </c>
      <c r="I101" s="2">
        <v>242.17</v>
      </c>
      <c r="J101" s="2">
        <v>2663.89</v>
      </c>
      <c r="K101">
        <f t="shared" si="3"/>
        <v>2421.7200000000003</v>
      </c>
      <c r="M101" t="str">
        <f t="shared" si="4"/>
        <v>LOW</v>
      </c>
      <c r="N101" t="str">
        <f t="shared" si="5"/>
        <v>MEDIUM</v>
      </c>
    </row>
    <row r="102" spans="1:14" ht="29" x14ac:dyDescent="0.35">
      <c r="A102" s="2">
        <v>378</v>
      </c>
      <c r="B102" s="3">
        <v>45519</v>
      </c>
      <c r="C102" s="2" t="s">
        <v>385</v>
      </c>
      <c r="D102" s="2" t="s">
        <v>509</v>
      </c>
      <c r="E102" s="2" t="s">
        <v>534</v>
      </c>
      <c r="F102" s="2">
        <v>10</v>
      </c>
      <c r="G102" s="2">
        <v>239.69</v>
      </c>
      <c r="H102" s="2">
        <v>2396.9</v>
      </c>
      <c r="I102" s="2">
        <v>239.69</v>
      </c>
      <c r="J102" s="2">
        <v>2636.59</v>
      </c>
      <c r="K102">
        <f t="shared" si="3"/>
        <v>2396.9</v>
      </c>
      <c r="M102" t="str">
        <f t="shared" si="4"/>
        <v>LOW</v>
      </c>
      <c r="N102" t="str">
        <f t="shared" si="5"/>
        <v>MEDIUM</v>
      </c>
    </row>
    <row r="103" spans="1:14" ht="29" x14ac:dyDescent="0.35">
      <c r="A103" s="2">
        <v>478</v>
      </c>
      <c r="B103" s="3">
        <v>45369</v>
      </c>
      <c r="C103" s="2" t="s">
        <v>485</v>
      </c>
      <c r="D103" s="2" t="s">
        <v>527</v>
      </c>
      <c r="E103" s="2" t="s">
        <v>536</v>
      </c>
      <c r="F103" s="2">
        <v>7</v>
      </c>
      <c r="G103" s="2">
        <v>339.85</v>
      </c>
      <c r="H103" s="2">
        <v>2378.9499999999998</v>
      </c>
      <c r="I103" s="2">
        <v>237.89</v>
      </c>
      <c r="J103" s="2">
        <v>2616.84</v>
      </c>
      <c r="K103">
        <f t="shared" si="3"/>
        <v>2378.9500000000003</v>
      </c>
      <c r="M103" t="str">
        <f t="shared" si="4"/>
        <v>LOW</v>
      </c>
      <c r="N103" t="str">
        <f t="shared" si="5"/>
        <v>MEDIUM</v>
      </c>
    </row>
    <row r="104" spans="1:14" x14ac:dyDescent="0.35">
      <c r="A104" s="2">
        <v>492</v>
      </c>
      <c r="B104" s="3">
        <v>45398</v>
      </c>
      <c r="C104" s="2" t="s">
        <v>499</v>
      </c>
      <c r="D104" s="2" t="s">
        <v>519</v>
      </c>
      <c r="E104" s="2" t="s">
        <v>537</v>
      </c>
      <c r="F104" s="2">
        <v>5</v>
      </c>
      <c r="G104" s="2">
        <v>475.27</v>
      </c>
      <c r="H104" s="2">
        <v>2376.35</v>
      </c>
      <c r="I104" s="2">
        <v>237.63</v>
      </c>
      <c r="J104" s="2">
        <v>2613.98</v>
      </c>
      <c r="K104">
        <f t="shared" si="3"/>
        <v>2376.35</v>
      </c>
      <c r="M104" t="str">
        <f t="shared" si="4"/>
        <v>LOW</v>
      </c>
      <c r="N104" t="str">
        <f t="shared" si="5"/>
        <v>MEDIUM</v>
      </c>
    </row>
    <row r="105" spans="1:14" x14ac:dyDescent="0.35">
      <c r="A105" s="2">
        <v>486</v>
      </c>
      <c r="B105" s="3">
        <v>45447</v>
      </c>
      <c r="C105" s="2" t="s">
        <v>493</v>
      </c>
      <c r="D105" s="2" t="s">
        <v>531</v>
      </c>
      <c r="E105" s="2" t="s">
        <v>533</v>
      </c>
      <c r="F105" s="2">
        <v>7</v>
      </c>
      <c r="G105" s="2">
        <v>336.56</v>
      </c>
      <c r="H105" s="2">
        <v>2355.92</v>
      </c>
      <c r="I105" s="2">
        <v>235.59</v>
      </c>
      <c r="J105" s="2">
        <v>2591.5100000000002</v>
      </c>
      <c r="K105">
        <f t="shared" si="3"/>
        <v>2355.92</v>
      </c>
      <c r="M105" t="str">
        <f t="shared" si="4"/>
        <v>LOW</v>
      </c>
      <c r="N105" t="str">
        <f t="shared" si="5"/>
        <v>MEDIUM</v>
      </c>
    </row>
    <row r="106" spans="1:14" x14ac:dyDescent="0.35">
      <c r="A106" s="2">
        <v>12</v>
      </c>
      <c r="B106" s="3">
        <v>45405</v>
      </c>
      <c r="C106" s="2" t="s">
        <v>21</v>
      </c>
      <c r="D106" s="2" t="s">
        <v>518</v>
      </c>
      <c r="E106" s="2" t="s">
        <v>533</v>
      </c>
      <c r="F106" s="2">
        <v>10</v>
      </c>
      <c r="G106" s="2">
        <v>233.19</v>
      </c>
      <c r="H106" s="2">
        <v>2331.9</v>
      </c>
      <c r="I106" s="2">
        <v>233.19</v>
      </c>
      <c r="J106" s="2">
        <v>2565.09</v>
      </c>
      <c r="K106">
        <f t="shared" si="3"/>
        <v>2331.9</v>
      </c>
      <c r="M106" t="str">
        <f t="shared" si="4"/>
        <v>LOW</v>
      </c>
      <c r="N106" t="str">
        <f t="shared" si="5"/>
        <v>MEDIUM</v>
      </c>
    </row>
    <row r="107" spans="1:14" x14ac:dyDescent="0.35">
      <c r="A107" s="2">
        <v>126</v>
      </c>
      <c r="B107" s="3">
        <v>45410</v>
      </c>
      <c r="C107" s="2" t="s">
        <v>135</v>
      </c>
      <c r="D107" s="2" t="s">
        <v>529</v>
      </c>
      <c r="E107" s="2" t="s">
        <v>535</v>
      </c>
      <c r="F107" s="2">
        <v>10</v>
      </c>
      <c r="G107" s="2">
        <v>232.8</v>
      </c>
      <c r="H107" s="2">
        <v>2328</v>
      </c>
      <c r="I107" s="2">
        <v>232.8</v>
      </c>
      <c r="J107" s="2">
        <v>2560.8000000000002</v>
      </c>
      <c r="K107">
        <f t="shared" si="3"/>
        <v>2328</v>
      </c>
      <c r="M107" t="str">
        <f t="shared" si="4"/>
        <v>LOW</v>
      </c>
      <c r="N107" t="str">
        <f t="shared" si="5"/>
        <v>MEDIUM</v>
      </c>
    </row>
    <row r="108" spans="1:14" x14ac:dyDescent="0.35">
      <c r="A108" s="2">
        <v>309</v>
      </c>
      <c r="B108" s="3">
        <v>45463</v>
      </c>
      <c r="C108" s="2" t="s">
        <v>316</v>
      </c>
      <c r="D108" s="2" t="s">
        <v>520</v>
      </c>
      <c r="E108" s="2" t="s">
        <v>536</v>
      </c>
      <c r="F108" s="2">
        <v>6</v>
      </c>
      <c r="G108" s="2">
        <v>387.49</v>
      </c>
      <c r="H108" s="2">
        <v>2324.94</v>
      </c>
      <c r="I108" s="2">
        <v>232.49</v>
      </c>
      <c r="J108" s="2">
        <v>2557.4299999999998</v>
      </c>
      <c r="K108">
        <f t="shared" si="3"/>
        <v>2324.94</v>
      </c>
      <c r="M108" t="str">
        <f t="shared" si="4"/>
        <v>LOW</v>
      </c>
      <c r="N108" t="str">
        <f t="shared" si="5"/>
        <v>MEDIUM</v>
      </c>
    </row>
    <row r="109" spans="1:14" x14ac:dyDescent="0.35">
      <c r="A109" s="2">
        <v>127</v>
      </c>
      <c r="B109" s="3">
        <v>45487</v>
      </c>
      <c r="C109" s="2" t="s">
        <v>136</v>
      </c>
      <c r="D109" s="2" t="s">
        <v>521</v>
      </c>
      <c r="E109" s="2" t="s">
        <v>533</v>
      </c>
      <c r="F109" s="2">
        <v>6</v>
      </c>
      <c r="G109" s="2">
        <v>385.84</v>
      </c>
      <c r="H109" s="2">
        <v>2315.04</v>
      </c>
      <c r="I109" s="2">
        <v>231.5</v>
      </c>
      <c r="J109" s="2">
        <v>2546.54</v>
      </c>
      <c r="K109">
        <f t="shared" si="3"/>
        <v>2315.04</v>
      </c>
      <c r="M109" t="str">
        <f t="shared" si="4"/>
        <v>LOW</v>
      </c>
      <c r="N109" t="str">
        <f t="shared" si="5"/>
        <v>MEDIUM</v>
      </c>
    </row>
    <row r="110" spans="1:14" x14ac:dyDescent="0.35">
      <c r="A110" s="2">
        <v>377</v>
      </c>
      <c r="B110" s="3">
        <v>45507</v>
      </c>
      <c r="C110" s="2" t="s">
        <v>384</v>
      </c>
      <c r="D110" s="2" t="s">
        <v>531</v>
      </c>
      <c r="E110" s="2" t="s">
        <v>533</v>
      </c>
      <c r="F110" s="2">
        <v>5</v>
      </c>
      <c r="G110" s="2">
        <v>462.05</v>
      </c>
      <c r="H110" s="2">
        <v>2310.25</v>
      </c>
      <c r="I110" s="2">
        <v>231.03</v>
      </c>
      <c r="J110" s="2">
        <v>2541.2800000000002</v>
      </c>
      <c r="K110">
        <f t="shared" si="3"/>
        <v>2310.25</v>
      </c>
      <c r="M110" t="str">
        <f t="shared" si="4"/>
        <v>LOW</v>
      </c>
      <c r="N110" t="str">
        <f t="shared" si="5"/>
        <v>MEDIUM</v>
      </c>
    </row>
    <row r="111" spans="1:14" x14ac:dyDescent="0.35">
      <c r="A111" s="2">
        <v>367</v>
      </c>
      <c r="B111" s="3">
        <v>45339</v>
      </c>
      <c r="C111" s="2" t="s">
        <v>374</v>
      </c>
      <c r="D111" s="2" t="s">
        <v>512</v>
      </c>
      <c r="E111" s="2" t="s">
        <v>534</v>
      </c>
      <c r="F111" s="2">
        <v>6</v>
      </c>
      <c r="G111" s="2">
        <v>384.71</v>
      </c>
      <c r="H111" s="2">
        <v>2308.2600000000002</v>
      </c>
      <c r="I111" s="2">
        <v>230.83</v>
      </c>
      <c r="J111" s="2">
        <v>2539.09</v>
      </c>
      <c r="K111">
        <f t="shared" si="3"/>
        <v>2308.2599999999998</v>
      </c>
      <c r="M111" t="str">
        <f t="shared" si="4"/>
        <v>LOW</v>
      </c>
      <c r="N111" t="str">
        <f t="shared" si="5"/>
        <v>MEDIUM</v>
      </c>
    </row>
    <row r="112" spans="1:14" x14ac:dyDescent="0.35">
      <c r="A112" s="2">
        <v>221</v>
      </c>
      <c r="B112" s="3">
        <v>45552</v>
      </c>
      <c r="C112" s="2" t="s">
        <v>230</v>
      </c>
      <c r="D112" s="2" t="s">
        <v>508</v>
      </c>
      <c r="E112" s="2" t="s">
        <v>533</v>
      </c>
      <c r="F112" s="2">
        <v>6</v>
      </c>
      <c r="G112" s="2">
        <v>383.68</v>
      </c>
      <c r="H112" s="2">
        <v>2302.08</v>
      </c>
      <c r="I112" s="2">
        <v>230.21</v>
      </c>
      <c r="J112" s="2">
        <v>2532.29</v>
      </c>
      <c r="K112">
        <f t="shared" si="3"/>
        <v>2302.08</v>
      </c>
      <c r="M112" t="str">
        <f t="shared" si="4"/>
        <v>LOW</v>
      </c>
      <c r="N112" t="str">
        <f t="shared" si="5"/>
        <v>MEDIUM</v>
      </c>
    </row>
    <row r="113" spans="1:14" x14ac:dyDescent="0.35">
      <c r="A113" s="2">
        <v>344</v>
      </c>
      <c r="B113" s="3">
        <v>45494</v>
      </c>
      <c r="C113" s="2" t="s">
        <v>351</v>
      </c>
      <c r="D113" s="2" t="s">
        <v>509</v>
      </c>
      <c r="E113" s="2" t="s">
        <v>534</v>
      </c>
      <c r="F113" s="2">
        <v>6</v>
      </c>
      <c r="G113" s="2">
        <v>378.81</v>
      </c>
      <c r="H113" s="2">
        <v>2272.86</v>
      </c>
      <c r="I113" s="2">
        <v>227.29</v>
      </c>
      <c r="J113" s="2">
        <v>2500.15</v>
      </c>
      <c r="K113">
        <f t="shared" si="3"/>
        <v>2272.86</v>
      </c>
      <c r="M113" t="str">
        <f t="shared" si="4"/>
        <v>LOW</v>
      </c>
      <c r="N113" t="str">
        <f t="shared" si="5"/>
        <v>MEDIUM</v>
      </c>
    </row>
    <row r="114" spans="1:14" x14ac:dyDescent="0.35">
      <c r="A114" s="2">
        <v>116</v>
      </c>
      <c r="B114" s="3">
        <v>45351</v>
      </c>
      <c r="C114" s="2" t="s">
        <v>125</v>
      </c>
      <c r="D114" s="2" t="s">
        <v>525</v>
      </c>
      <c r="E114" s="2" t="s">
        <v>535</v>
      </c>
      <c r="F114" s="2">
        <v>6</v>
      </c>
      <c r="G114" s="2">
        <v>378.72</v>
      </c>
      <c r="H114" s="2">
        <v>2272.3200000000002</v>
      </c>
      <c r="I114" s="2">
        <v>227.23</v>
      </c>
      <c r="J114" s="2">
        <v>2499.5500000000002</v>
      </c>
      <c r="K114">
        <f t="shared" si="3"/>
        <v>2272.3200000000002</v>
      </c>
      <c r="M114" t="str">
        <f t="shared" si="4"/>
        <v>LOW</v>
      </c>
      <c r="N114" t="str">
        <f t="shared" si="5"/>
        <v>MEDIUM</v>
      </c>
    </row>
    <row r="115" spans="1:14" ht="29" x14ac:dyDescent="0.35">
      <c r="A115" s="2">
        <v>254</v>
      </c>
      <c r="B115" s="3">
        <v>45629</v>
      </c>
      <c r="C115" s="2" t="s">
        <v>263</v>
      </c>
      <c r="D115" s="2" t="s">
        <v>514</v>
      </c>
      <c r="E115" s="2" t="s">
        <v>534</v>
      </c>
      <c r="F115" s="2">
        <v>5</v>
      </c>
      <c r="G115" s="2">
        <v>454</v>
      </c>
      <c r="H115" s="2">
        <v>2270</v>
      </c>
      <c r="I115" s="2">
        <v>227</v>
      </c>
      <c r="J115" s="2">
        <v>2497</v>
      </c>
      <c r="K115">
        <f t="shared" si="3"/>
        <v>2270</v>
      </c>
      <c r="M115" t="str">
        <f t="shared" si="4"/>
        <v>LOW</v>
      </c>
      <c r="N115" t="str">
        <f t="shared" si="5"/>
        <v>MEDIUM</v>
      </c>
    </row>
    <row r="116" spans="1:14" x14ac:dyDescent="0.35">
      <c r="A116" s="2">
        <v>356</v>
      </c>
      <c r="B116" s="3">
        <v>45440</v>
      </c>
      <c r="C116" s="2" t="s">
        <v>363</v>
      </c>
      <c r="D116" s="2" t="s">
        <v>532</v>
      </c>
      <c r="E116" s="2" t="s">
        <v>537</v>
      </c>
      <c r="F116" s="2">
        <v>5</v>
      </c>
      <c r="G116" s="2">
        <v>453.36</v>
      </c>
      <c r="H116" s="2">
        <v>2266.8000000000002</v>
      </c>
      <c r="I116" s="2">
        <v>226.68</v>
      </c>
      <c r="J116" s="2">
        <v>2493.48</v>
      </c>
      <c r="K116">
        <f t="shared" si="3"/>
        <v>2266.8000000000002</v>
      </c>
      <c r="M116" t="str">
        <f t="shared" si="4"/>
        <v>LOW</v>
      </c>
      <c r="N116" t="str">
        <f t="shared" si="5"/>
        <v>MEDIUM</v>
      </c>
    </row>
    <row r="117" spans="1:14" ht="29" x14ac:dyDescent="0.35">
      <c r="A117" s="2">
        <v>283</v>
      </c>
      <c r="B117" s="3">
        <v>45443</v>
      </c>
      <c r="C117" s="2" t="s">
        <v>290</v>
      </c>
      <c r="D117" s="2" t="s">
        <v>523</v>
      </c>
      <c r="E117" s="2" t="s">
        <v>534</v>
      </c>
      <c r="F117" s="2">
        <v>8</v>
      </c>
      <c r="G117" s="2">
        <v>282.14999999999998</v>
      </c>
      <c r="H117" s="2">
        <v>2257.1999999999998</v>
      </c>
      <c r="I117" s="2">
        <v>225.72</v>
      </c>
      <c r="J117" s="2">
        <v>2482.92</v>
      </c>
      <c r="K117">
        <f t="shared" si="3"/>
        <v>2257.1999999999998</v>
      </c>
      <c r="M117" t="str">
        <f t="shared" si="4"/>
        <v>LOW</v>
      </c>
      <c r="N117" t="str">
        <f t="shared" si="5"/>
        <v>MEDIUM</v>
      </c>
    </row>
    <row r="118" spans="1:14" x14ac:dyDescent="0.35">
      <c r="A118" s="2">
        <v>131</v>
      </c>
      <c r="B118" s="3">
        <v>45675</v>
      </c>
      <c r="C118" s="2" t="s">
        <v>140</v>
      </c>
      <c r="D118" s="2" t="s">
        <v>520</v>
      </c>
      <c r="E118" s="2" t="s">
        <v>536</v>
      </c>
      <c r="F118" s="2">
        <v>10</v>
      </c>
      <c r="G118" s="2">
        <v>223.82</v>
      </c>
      <c r="H118" s="2">
        <v>2238.1999999999998</v>
      </c>
      <c r="I118" s="2">
        <v>223.82</v>
      </c>
      <c r="J118" s="2">
        <v>2462.02</v>
      </c>
      <c r="K118">
        <f t="shared" si="3"/>
        <v>2238.1999999999998</v>
      </c>
      <c r="M118" t="str">
        <f t="shared" si="4"/>
        <v>LOW</v>
      </c>
      <c r="N118" t="str">
        <f t="shared" si="5"/>
        <v>MEDIUM</v>
      </c>
    </row>
    <row r="119" spans="1:14" ht="29" x14ac:dyDescent="0.35">
      <c r="A119" s="2">
        <v>93</v>
      </c>
      <c r="B119" s="3">
        <v>45479</v>
      </c>
      <c r="C119" s="2" t="s">
        <v>102</v>
      </c>
      <c r="D119" s="2" t="s">
        <v>524</v>
      </c>
      <c r="E119" s="2" t="s">
        <v>534</v>
      </c>
      <c r="F119" s="2">
        <v>10</v>
      </c>
      <c r="G119" s="2">
        <v>221.86</v>
      </c>
      <c r="H119" s="2">
        <v>2218.6</v>
      </c>
      <c r="I119" s="2">
        <v>221.86</v>
      </c>
      <c r="J119" s="2">
        <v>2440.46</v>
      </c>
      <c r="K119">
        <f t="shared" si="3"/>
        <v>2218.6000000000004</v>
      </c>
      <c r="M119" t="str">
        <f t="shared" si="4"/>
        <v>LOW</v>
      </c>
      <c r="N119" t="str">
        <f t="shared" si="5"/>
        <v>MEDIUM</v>
      </c>
    </row>
    <row r="120" spans="1:14" x14ac:dyDescent="0.35">
      <c r="A120" s="2">
        <v>236</v>
      </c>
      <c r="B120" s="3">
        <v>45621</v>
      </c>
      <c r="C120" s="2" t="s">
        <v>245</v>
      </c>
      <c r="D120" s="2" t="s">
        <v>511</v>
      </c>
      <c r="E120" s="2" t="s">
        <v>535</v>
      </c>
      <c r="F120" s="2">
        <v>6</v>
      </c>
      <c r="G120" s="2">
        <v>365.98</v>
      </c>
      <c r="H120" s="2">
        <v>2195.88</v>
      </c>
      <c r="I120" s="2">
        <v>219.59</v>
      </c>
      <c r="J120" s="2">
        <v>2415.4699999999998</v>
      </c>
      <c r="K120">
        <f t="shared" si="3"/>
        <v>2195.88</v>
      </c>
      <c r="M120" t="str">
        <f t="shared" si="4"/>
        <v>LOW</v>
      </c>
      <c r="N120" t="str">
        <f t="shared" si="5"/>
        <v>MEDIUM</v>
      </c>
    </row>
    <row r="121" spans="1:14" ht="29" x14ac:dyDescent="0.35">
      <c r="A121" s="2">
        <v>174</v>
      </c>
      <c r="B121" s="3">
        <v>45587</v>
      </c>
      <c r="C121" s="2" t="s">
        <v>183</v>
      </c>
      <c r="D121" s="2" t="s">
        <v>524</v>
      </c>
      <c r="E121" s="2" t="s">
        <v>534</v>
      </c>
      <c r="F121" s="2">
        <v>9</v>
      </c>
      <c r="G121" s="2">
        <v>243.23</v>
      </c>
      <c r="H121" s="2">
        <v>2189.0700000000002</v>
      </c>
      <c r="I121" s="2">
        <v>218.91</v>
      </c>
      <c r="J121" s="2">
        <v>2407.98</v>
      </c>
      <c r="K121">
        <f t="shared" si="3"/>
        <v>2189.0699999999997</v>
      </c>
      <c r="M121" t="str">
        <f t="shared" si="4"/>
        <v>LOW</v>
      </c>
      <c r="N121" t="str">
        <f t="shared" si="5"/>
        <v>MEDIUM</v>
      </c>
    </row>
    <row r="122" spans="1:14" x14ac:dyDescent="0.35">
      <c r="A122" s="2">
        <v>351</v>
      </c>
      <c r="B122" s="3">
        <v>45500</v>
      </c>
      <c r="C122" s="2" t="s">
        <v>358</v>
      </c>
      <c r="D122" s="2" t="s">
        <v>532</v>
      </c>
      <c r="E122" s="2" t="s">
        <v>537</v>
      </c>
      <c r="F122" s="2">
        <v>7</v>
      </c>
      <c r="G122" s="2">
        <v>311.11</v>
      </c>
      <c r="H122" s="2">
        <v>2177.77</v>
      </c>
      <c r="I122" s="2">
        <v>217.78</v>
      </c>
      <c r="J122" s="2">
        <v>2395.5500000000002</v>
      </c>
      <c r="K122">
        <f t="shared" si="3"/>
        <v>2177.77</v>
      </c>
      <c r="M122" t="str">
        <f t="shared" si="4"/>
        <v>LOW</v>
      </c>
      <c r="N122" t="str">
        <f t="shared" si="5"/>
        <v>MEDIUM</v>
      </c>
    </row>
    <row r="123" spans="1:14" x14ac:dyDescent="0.35">
      <c r="A123" s="2">
        <v>427</v>
      </c>
      <c r="B123" s="3">
        <v>45525</v>
      </c>
      <c r="C123" s="2" t="s">
        <v>434</v>
      </c>
      <c r="D123" s="2" t="s">
        <v>518</v>
      </c>
      <c r="E123" s="2" t="s">
        <v>533</v>
      </c>
      <c r="F123" s="2">
        <v>6</v>
      </c>
      <c r="G123" s="2">
        <v>362.71</v>
      </c>
      <c r="H123" s="2">
        <v>2176.2600000000002</v>
      </c>
      <c r="I123" s="2">
        <v>217.63</v>
      </c>
      <c r="J123" s="2">
        <v>2393.89</v>
      </c>
      <c r="K123">
        <f t="shared" si="3"/>
        <v>2176.2599999999998</v>
      </c>
      <c r="M123" t="str">
        <f t="shared" si="4"/>
        <v>LOW</v>
      </c>
      <c r="N123" t="str">
        <f t="shared" si="5"/>
        <v>MEDIUM</v>
      </c>
    </row>
    <row r="124" spans="1:14" ht="29" x14ac:dyDescent="0.35">
      <c r="A124" s="2">
        <v>217</v>
      </c>
      <c r="B124" s="3">
        <v>45642</v>
      </c>
      <c r="C124" s="2" t="s">
        <v>226</v>
      </c>
      <c r="D124" s="2" t="s">
        <v>530</v>
      </c>
      <c r="E124" s="2" t="s">
        <v>537</v>
      </c>
      <c r="F124" s="2">
        <v>8</v>
      </c>
      <c r="G124" s="2">
        <v>271.17</v>
      </c>
      <c r="H124" s="2">
        <v>2169.36</v>
      </c>
      <c r="I124" s="2">
        <v>216.94</v>
      </c>
      <c r="J124" s="2">
        <v>2386.3000000000002</v>
      </c>
      <c r="K124">
        <f t="shared" si="3"/>
        <v>2169.36</v>
      </c>
      <c r="M124" t="str">
        <f t="shared" si="4"/>
        <v>LOW</v>
      </c>
      <c r="N124" t="str">
        <f t="shared" si="5"/>
        <v>MEDIUM</v>
      </c>
    </row>
    <row r="125" spans="1:14" x14ac:dyDescent="0.35">
      <c r="A125" s="2">
        <v>407</v>
      </c>
      <c r="B125" s="3">
        <v>45385</v>
      </c>
      <c r="C125" s="2" t="s">
        <v>414</v>
      </c>
      <c r="D125" s="2" t="s">
        <v>520</v>
      </c>
      <c r="E125" s="2" t="s">
        <v>536</v>
      </c>
      <c r="F125" s="2">
        <v>8</v>
      </c>
      <c r="G125" s="2">
        <v>269.61</v>
      </c>
      <c r="H125" s="2">
        <v>2156.88</v>
      </c>
      <c r="I125" s="2">
        <v>215.69</v>
      </c>
      <c r="J125" s="2">
        <v>2372.5700000000002</v>
      </c>
      <c r="K125">
        <f t="shared" si="3"/>
        <v>2156.88</v>
      </c>
      <c r="M125" t="str">
        <f t="shared" si="4"/>
        <v>LOW</v>
      </c>
      <c r="N125" t="str">
        <f t="shared" si="5"/>
        <v>MEDIUM</v>
      </c>
    </row>
    <row r="126" spans="1:14" ht="29" x14ac:dyDescent="0.35">
      <c r="A126" s="2">
        <v>395</v>
      </c>
      <c r="B126" s="3">
        <v>45575</v>
      </c>
      <c r="C126" s="2" t="s">
        <v>402</v>
      </c>
      <c r="D126" s="2" t="s">
        <v>530</v>
      </c>
      <c r="E126" s="2" t="s">
        <v>537</v>
      </c>
      <c r="F126" s="2">
        <v>6</v>
      </c>
      <c r="G126" s="2">
        <v>356.17</v>
      </c>
      <c r="H126" s="2">
        <v>2137.02</v>
      </c>
      <c r="I126" s="2">
        <v>213.7</v>
      </c>
      <c r="J126" s="2">
        <v>2350.7199999999998</v>
      </c>
      <c r="K126">
        <f t="shared" si="3"/>
        <v>2137.02</v>
      </c>
      <c r="M126" t="str">
        <f t="shared" si="4"/>
        <v>LOW</v>
      </c>
      <c r="N126" t="str">
        <f t="shared" si="5"/>
        <v>MEDIUM</v>
      </c>
    </row>
    <row r="127" spans="1:14" x14ac:dyDescent="0.35">
      <c r="A127" s="2">
        <v>465</v>
      </c>
      <c r="B127" s="3">
        <v>45648</v>
      </c>
      <c r="C127" s="2" t="s">
        <v>472</v>
      </c>
      <c r="D127" s="2" t="s">
        <v>531</v>
      </c>
      <c r="E127" s="2" t="s">
        <v>533</v>
      </c>
      <c r="F127" s="2">
        <v>9</v>
      </c>
      <c r="G127" s="2">
        <v>235.77</v>
      </c>
      <c r="H127" s="2">
        <v>2121.9299999999998</v>
      </c>
      <c r="I127" s="2">
        <v>212.19</v>
      </c>
      <c r="J127" s="2">
        <v>2334.12</v>
      </c>
      <c r="K127">
        <f t="shared" si="3"/>
        <v>2121.9300000000003</v>
      </c>
      <c r="M127" t="str">
        <f t="shared" si="4"/>
        <v>LOW</v>
      </c>
      <c r="N127" t="str">
        <f t="shared" si="5"/>
        <v>MEDIUM</v>
      </c>
    </row>
    <row r="128" spans="1:14" ht="29" x14ac:dyDescent="0.35">
      <c r="A128" s="2">
        <v>277</v>
      </c>
      <c r="B128" s="3">
        <v>45454</v>
      </c>
      <c r="C128" s="2" t="s">
        <v>284</v>
      </c>
      <c r="D128" s="2" t="s">
        <v>517</v>
      </c>
      <c r="E128" s="2" t="s">
        <v>537</v>
      </c>
      <c r="F128" s="2">
        <v>7</v>
      </c>
      <c r="G128" s="2">
        <v>301.23</v>
      </c>
      <c r="H128" s="2">
        <v>2108.61</v>
      </c>
      <c r="I128" s="2">
        <v>210.86</v>
      </c>
      <c r="J128" s="2">
        <v>2319.4699999999998</v>
      </c>
      <c r="K128">
        <f t="shared" si="3"/>
        <v>2108.61</v>
      </c>
      <c r="M128" t="str">
        <f t="shared" si="4"/>
        <v>LOW</v>
      </c>
      <c r="N128" t="str">
        <f t="shared" si="5"/>
        <v>MEDIUM</v>
      </c>
    </row>
    <row r="129" spans="1:14" x14ac:dyDescent="0.35">
      <c r="A129" s="2">
        <v>123</v>
      </c>
      <c r="B129" s="3">
        <v>45542</v>
      </c>
      <c r="C129" s="2" t="s">
        <v>132</v>
      </c>
      <c r="D129" s="2" t="s">
        <v>516</v>
      </c>
      <c r="E129" s="2" t="s">
        <v>535</v>
      </c>
      <c r="F129" s="2">
        <v>5</v>
      </c>
      <c r="G129" s="2">
        <v>420.8</v>
      </c>
      <c r="H129" s="2">
        <v>2104</v>
      </c>
      <c r="I129" s="2">
        <v>210.4</v>
      </c>
      <c r="J129" s="2">
        <v>2314.4</v>
      </c>
      <c r="K129">
        <f t="shared" si="3"/>
        <v>2104</v>
      </c>
      <c r="M129" t="str">
        <f t="shared" si="4"/>
        <v>LOW</v>
      </c>
      <c r="N129" t="str">
        <f t="shared" si="5"/>
        <v>MEDIUM</v>
      </c>
    </row>
    <row r="130" spans="1:14" x14ac:dyDescent="0.35">
      <c r="A130" s="2">
        <v>175</v>
      </c>
      <c r="B130" s="3">
        <v>45404</v>
      </c>
      <c r="C130" s="2" t="s">
        <v>184</v>
      </c>
      <c r="D130" s="2" t="s">
        <v>532</v>
      </c>
      <c r="E130" s="2" t="s">
        <v>537</v>
      </c>
      <c r="F130" s="2">
        <v>5</v>
      </c>
      <c r="G130" s="2">
        <v>420.24</v>
      </c>
      <c r="H130" s="2">
        <v>2101.1999999999998</v>
      </c>
      <c r="I130" s="2">
        <v>210.12</v>
      </c>
      <c r="J130" s="2">
        <v>2311.3200000000002</v>
      </c>
      <c r="K130">
        <f t="shared" si="3"/>
        <v>2101.1999999999998</v>
      </c>
      <c r="M130" t="str">
        <f t="shared" si="4"/>
        <v>LOW</v>
      </c>
      <c r="N130" t="str">
        <f t="shared" si="5"/>
        <v>MEDIUM</v>
      </c>
    </row>
    <row r="131" spans="1:14" x14ac:dyDescent="0.35">
      <c r="A131" s="2">
        <v>419</v>
      </c>
      <c r="B131" s="3">
        <v>45392</v>
      </c>
      <c r="C131" s="2" t="s">
        <v>426</v>
      </c>
      <c r="D131" s="2" t="s">
        <v>525</v>
      </c>
      <c r="E131" s="2" t="s">
        <v>535</v>
      </c>
      <c r="F131" s="2">
        <v>8</v>
      </c>
      <c r="G131" s="2">
        <v>260.91000000000003</v>
      </c>
      <c r="H131" s="2">
        <v>2087.2800000000002</v>
      </c>
      <c r="I131" s="2">
        <v>208.73</v>
      </c>
      <c r="J131" s="2">
        <v>2296.0100000000002</v>
      </c>
      <c r="K131">
        <f t="shared" ref="K131:K194" si="6">F131*G131</f>
        <v>2087.2800000000002</v>
      </c>
      <c r="M131" t="str">
        <f t="shared" ref="M131:M194" si="7">IF(H131&gt;2500,"HIGH","LOW")</f>
        <v>LOW</v>
      </c>
      <c r="N131" t="str">
        <f t="shared" ref="N131:N194" si="8">IF(H131&gt;2500,"HIGH",IF(H131&lt;1000,"LOW","MEDIUM"))</f>
        <v>MEDIUM</v>
      </c>
    </row>
    <row r="132" spans="1:14" x14ac:dyDescent="0.35">
      <c r="A132" s="2">
        <v>215</v>
      </c>
      <c r="B132" s="3">
        <v>45488</v>
      </c>
      <c r="C132" s="2" t="s">
        <v>224</v>
      </c>
      <c r="D132" s="2" t="s">
        <v>510</v>
      </c>
      <c r="E132" s="2" t="s">
        <v>533</v>
      </c>
      <c r="F132" s="2">
        <v>8</v>
      </c>
      <c r="G132" s="2">
        <v>259.02999999999997</v>
      </c>
      <c r="H132" s="2">
        <v>2072.2399999999998</v>
      </c>
      <c r="I132" s="2">
        <v>207.22</v>
      </c>
      <c r="J132" s="2">
        <v>2279.46</v>
      </c>
      <c r="K132">
        <f t="shared" si="6"/>
        <v>2072.2399999999998</v>
      </c>
      <c r="M132" t="str">
        <f t="shared" si="7"/>
        <v>LOW</v>
      </c>
      <c r="N132" t="str">
        <f t="shared" si="8"/>
        <v>MEDIUM</v>
      </c>
    </row>
    <row r="133" spans="1:14" x14ac:dyDescent="0.35">
      <c r="A133" s="2">
        <v>432</v>
      </c>
      <c r="B133" s="3">
        <v>45552</v>
      </c>
      <c r="C133" s="2" t="s">
        <v>439</v>
      </c>
      <c r="D133" s="2" t="s">
        <v>519</v>
      </c>
      <c r="E133" s="2" t="s">
        <v>537</v>
      </c>
      <c r="F133" s="2">
        <v>8</v>
      </c>
      <c r="G133" s="2">
        <v>252.26</v>
      </c>
      <c r="H133" s="2">
        <v>2018.08</v>
      </c>
      <c r="I133" s="2">
        <v>201.81</v>
      </c>
      <c r="J133" s="2">
        <v>2219.89</v>
      </c>
      <c r="K133">
        <f t="shared" si="6"/>
        <v>2018.08</v>
      </c>
      <c r="M133" t="str">
        <f t="shared" si="7"/>
        <v>LOW</v>
      </c>
      <c r="N133" t="str">
        <f t="shared" si="8"/>
        <v>MEDIUM</v>
      </c>
    </row>
    <row r="134" spans="1:14" x14ac:dyDescent="0.35">
      <c r="A134" s="2">
        <v>392</v>
      </c>
      <c r="B134" s="3">
        <v>45668</v>
      </c>
      <c r="C134" s="2" t="s">
        <v>399</v>
      </c>
      <c r="D134" s="2" t="s">
        <v>509</v>
      </c>
      <c r="E134" s="2" t="s">
        <v>534</v>
      </c>
      <c r="F134" s="2">
        <v>10</v>
      </c>
      <c r="G134" s="2">
        <v>201.37</v>
      </c>
      <c r="H134" s="2">
        <v>2013.7</v>
      </c>
      <c r="I134" s="2">
        <v>201.37</v>
      </c>
      <c r="J134" s="2">
        <v>2215.0700000000002</v>
      </c>
      <c r="K134">
        <f t="shared" si="6"/>
        <v>2013.7</v>
      </c>
      <c r="M134" t="str">
        <f t="shared" si="7"/>
        <v>LOW</v>
      </c>
      <c r="N134" t="str">
        <f t="shared" si="8"/>
        <v>MEDIUM</v>
      </c>
    </row>
    <row r="135" spans="1:14" ht="29" x14ac:dyDescent="0.35">
      <c r="A135" s="2">
        <v>68</v>
      </c>
      <c r="B135" s="3">
        <v>45354</v>
      </c>
      <c r="C135" s="2" t="s">
        <v>77</v>
      </c>
      <c r="D135" s="2" t="s">
        <v>511</v>
      </c>
      <c r="E135" s="2" t="s">
        <v>535</v>
      </c>
      <c r="F135" s="2">
        <v>9</v>
      </c>
      <c r="G135" s="2">
        <v>223.12</v>
      </c>
      <c r="H135" s="2">
        <v>2008.08</v>
      </c>
      <c r="I135" s="2">
        <v>200.81</v>
      </c>
      <c r="J135" s="2">
        <v>2208.89</v>
      </c>
      <c r="K135">
        <f t="shared" si="6"/>
        <v>2008.08</v>
      </c>
      <c r="M135" t="str">
        <f t="shared" si="7"/>
        <v>LOW</v>
      </c>
      <c r="N135" t="str">
        <f t="shared" si="8"/>
        <v>MEDIUM</v>
      </c>
    </row>
    <row r="136" spans="1:14" x14ac:dyDescent="0.35">
      <c r="A136" s="2">
        <v>186</v>
      </c>
      <c r="B136" s="3">
        <v>45506</v>
      </c>
      <c r="C136" s="2" t="s">
        <v>195</v>
      </c>
      <c r="D136" s="2" t="s">
        <v>525</v>
      </c>
      <c r="E136" s="2" t="s">
        <v>535</v>
      </c>
      <c r="F136" s="2">
        <v>4</v>
      </c>
      <c r="G136" s="2">
        <v>489.34</v>
      </c>
      <c r="H136" s="2">
        <v>1957.36</v>
      </c>
      <c r="I136" s="2">
        <v>195.74</v>
      </c>
      <c r="J136" s="2">
        <v>2153.1</v>
      </c>
      <c r="K136">
        <f t="shared" si="6"/>
        <v>1957.36</v>
      </c>
      <c r="M136" t="str">
        <f t="shared" si="7"/>
        <v>LOW</v>
      </c>
      <c r="N136" t="str">
        <f t="shared" si="8"/>
        <v>MEDIUM</v>
      </c>
    </row>
    <row r="137" spans="1:14" x14ac:dyDescent="0.35">
      <c r="A137" s="2">
        <v>155</v>
      </c>
      <c r="B137" s="3">
        <v>45396</v>
      </c>
      <c r="C137" s="2" t="s">
        <v>164</v>
      </c>
      <c r="D137" s="2" t="s">
        <v>516</v>
      </c>
      <c r="E137" s="2" t="s">
        <v>535</v>
      </c>
      <c r="F137" s="2">
        <v>6</v>
      </c>
      <c r="G137" s="2">
        <v>325.67</v>
      </c>
      <c r="H137" s="2">
        <v>1954.02</v>
      </c>
      <c r="I137" s="2">
        <v>195.4</v>
      </c>
      <c r="J137" s="2">
        <v>2149.42</v>
      </c>
      <c r="K137">
        <f t="shared" si="6"/>
        <v>1954.02</v>
      </c>
      <c r="M137" t="str">
        <f t="shared" si="7"/>
        <v>LOW</v>
      </c>
      <c r="N137" t="str">
        <f t="shared" si="8"/>
        <v>MEDIUM</v>
      </c>
    </row>
    <row r="138" spans="1:14" x14ac:dyDescent="0.35">
      <c r="A138" s="2">
        <v>50</v>
      </c>
      <c r="B138" s="3">
        <v>45422</v>
      </c>
      <c r="C138" s="2" t="s">
        <v>59</v>
      </c>
      <c r="D138" s="2" t="s">
        <v>519</v>
      </c>
      <c r="E138" s="2" t="s">
        <v>537</v>
      </c>
      <c r="F138" s="2">
        <v>6</v>
      </c>
      <c r="G138" s="2">
        <v>324.94</v>
      </c>
      <c r="H138" s="2">
        <v>1949.64</v>
      </c>
      <c r="I138" s="2">
        <v>194.96</v>
      </c>
      <c r="J138" s="2">
        <v>2144.6</v>
      </c>
      <c r="K138">
        <f t="shared" si="6"/>
        <v>1949.6399999999999</v>
      </c>
      <c r="M138" t="str">
        <f t="shared" si="7"/>
        <v>LOW</v>
      </c>
      <c r="N138" t="str">
        <f t="shared" si="8"/>
        <v>MEDIUM</v>
      </c>
    </row>
    <row r="139" spans="1:14" x14ac:dyDescent="0.35">
      <c r="A139" s="2">
        <v>420</v>
      </c>
      <c r="B139" s="3">
        <v>45674</v>
      </c>
      <c r="C139" s="2" t="s">
        <v>427</v>
      </c>
      <c r="D139" s="2" t="s">
        <v>523</v>
      </c>
      <c r="E139" s="2" t="s">
        <v>534</v>
      </c>
      <c r="F139" s="2">
        <v>8</v>
      </c>
      <c r="G139" s="2">
        <v>242.81</v>
      </c>
      <c r="H139" s="2">
        <v>1942.48</v>
      </c>
      <c r="I139" s="2">
        <v>194.25</v>
      </c>
      <c r="J139" s="2">
        <v>2136.73</v>
      </c>
      <c r="K139">
        <f t="shared" si="6"/>
        <v>1942.48</v>
      </c>
      <c r="M139" t="str">
        <f t="shared" si="7"/>
        <v>LOW</v>
      </c>
      <c r="N139" t="str">
        <f t="shared" si="8"/>
        <v>MEDIUM</v>
      </c>
    </row>
    <row r="140" spans="1:14" ht="29" x14ac:dyDescent="0.35">
      <c r="A140" s="2">
        <v>232</v>
      </c>
      <c r="B140" s="3">
        <v>45456</v>
      </c>
      <c r="C140" s="2" t="s">
        <v>241</v>
      </c>
      <c r="D140" s="2" t="s">
        <v>527</v>
      </c>
      <c r="E140" s="2" t="s">
        <v>536</v>
      </c>
      <c r="F140" s="2">
        <v>10</v>
      </c>
      <c r="G140" s="2">
        <v>193.39</v>
      </c>
      <c r="H140" s="2">
        <v>1933.9</v>
      </c>
      <c r="I140" s="2">
        <v>193.39</v>
      </c>
      <c r="J140" s="2">
        <v>2127.29</v>
      </c>
      <c r="K140">
        <f t="shared" si="6"/>
        <v>1933.8999999999999</v>
      </c>
      <c r="M140" t="str">
        <f t="shared" si="7"/>
        <v>LOW</v>
      </c>
      <c r="N140" t="str">
        <f t="shared" si="8"/>
        <v>MEDIUM</v>
      </c>
    </row>
    <row r="141" spans="1:14" x14ac:dyDescent="0.35">
      <c r="A141" s="2">
        <v>443</v>
      </c>
      <c r="B141" s="3">
        <v>45340</v>
      </c>
      <c r="C141" s="2" t="s">
        <v>450</v>
      </c>
      <c r="D141" s="2" t="s">
        <v>531</v>
      </c>
      <c r="E141" s="2" t="s">
        <v>533</v>
      </c>
      <c r="F141" s="2">
        <v>8</v>
      </c>
      <c r="G141" s="2">
        <v>241.18</v>
      </c>
      <c r="H141" s="2">
        <v>1929.44</v>
      </c>
      <c r="I141" s="2">
        <v>192.94</v>
      </c>
      <c r="J141" s="2">
        <v>2122.38</v>
      </c>
      <c r="K141">
        <f t="shared" si="6"/>
        <v>1929.44</v>
      </c>
      <c r="M141" t="str">
        <f t="shared" si="7"/>
        <v>LOW</v>
      </c>
      <c r="N141" t="str">
        <f t="shared" si="8"/>
        <v>MEDIUM</v>
      </c>
    </row>
    <row r="142" spans="1:14" x14ac:dyDescent="0.35">
      <c r="A142" s="2">
        <v>455</v>
      </c>
      <c r="B142" s="3">
        <v>45665</v>
      </c>
      <c r="C142" s="2" t="s">
        <v>462</v>
      </c>
      <c r="D142" s="2" t="s">
        <v>532</v>
      </c>
      <c r="E142" s="2" t="s">
        <v>537</v>
      </c>
      <c r="F142" s="2">
        <v>6</v>
      </c>
      <c r="G142" s="2">
        <v>321.39999999999998</v>
      </c>
      <c r="H142" s="2">
        <v>1928.4</v>
      </c>
      <c r="I142" s="2">
        <v>192.84</v>
      </c>
      <c r="J142" s="2">
        <v>2121.2399999999998</v>
      </c>
      <c r="K142">
        <f t="shared" si="6"/>
        <v>1928.3999999999999</v>
      </c>
      <c r="M142" t="str">
        <f t="shared" si="7"/>
        <v>LOW</v>
      </c>
      <c r="N142" t="str">
        <f t="shared" si="8"/>
        <v>MEDIUM</v>
      </c>
    </row>
    <row r="143" spans="1:14" x14ac:dyDescent="0.35">
      <c r="A143" s="2">
        <v>354</v>
      </c>
      <c r="B143" s="3">
        <v>45416</v>
      </c>
      <c r="C143" s="2" t="s">
        <v>361</v>
      </c>
      <c r="D143" s="2" t="s">
        <v>513</v>
      </c>
      <c r="E143" s="2" t="s">
        <v>535</v>
      </c>
      <c r="F143" s="2">
        <v>4</v>
      </c>
      <c r="G143" s="2">
        <v>478.33</v>
      </c>
      <c r="H143" s="2">
        <v>1913.32</v>
      </c>
      <c r="I143" s="2">
        <v>191.33</v>
      </c>
      <c r="J143" s="2">
        <v>2104.65</v>
      </c>
      <c r="K143">
        <f t="shared" si="6"/>
        <v>1913.32</v>
      </c>
      <c r="M143" t="str">
        <f t="shared" si="7"/>
        <v>LOW</v>
      </c>
      <c r="N143" t="str">
        <f t="shared" si="8"/>
        <v>MEDIUM</v>
      </c>
    </row>
    <row r="144" spans="1:14" ht="29" x14ac:dyDescent="0.35">
      <c r="A144" s="2">
        <v>239</v>
      </c>
      <c r="B144" s="3">
        <v>45355</v>
      </c>
      <c r="C144" s="2" t="s">
        <v>248</v>
      </c>
      <c r="D144" s="2" t="s">
        <v>510</v>
      </c>
      <c r="E144" s="2" t="s">
        <v>533</v>
      </c>
      <c r="F144" s="2">
        <v>6</v>
      </c>
      <c r="G144" s="2">
        <v>315.5</v>
      </c>
      <c r="H144" s="2">
        <v>1893</v>
      </c>
      <c r="I144" s="2">
        <v>189.3</v>
      </c>
      <c r="J144" s="2">
        <v>2082.3000000000002</v>
      </c>
      <c r="K144">
        <f t="shared" si="6"/>
        <v>1893</v>
      </c>
      <c r="M144" t="str">
        <f t="shared" si="7"/>
        <v>LOW</v>
      </c>
      <c r="N144" t="str">
        <f t="shared" si="8"/>
        <v>MEDIUM</v>
      </c>
    </row>
    <row r="145" spans="1:14" ht="29" x14ac:dyDescent="0.35">
      <c r="A145" s="2">
        <v>183</v>
      </c>
      <c r="B145" s="3">
        <v>45383</v>
      </c>
      <c r="C145" s="2" t="s">
        <v>192</v>
      </c>
      <c r="D145" s="2" t="s">
        <v>516</v>
      </c>
      <c r="E145" s="2" t="s">
        <v>535</v>
      </c>
      <c r="F145" s="2">
        <v>4</v>
      </c>
      <c r="G145" s="2">
        <v>466.56</v>
      </c>
      <c r="H145" s="2">
        <v>1866.24</v>
      </c>
      <c r="I145" s="2">
        <v>186.62</v>
      </c>
      <c r="J145" s="2">
        <v>2052.86</v>
      </c>
      <c r="K145">
        <f t="shared" si="6"/>
        <v>1866.24</v>
      </c>
      <c r="M145" t="str">
        <f t="shared" si="7"/>
        <v>LOW</v>
      </c>
      <c r="N145" t="str">
        <f t="shared" si="8"/>
        <v>MEDIUM</v>
      </c>
    </row>
    <row r="146" spans="1:14" x14ac:dyDescent="0.35">
      <c r="A146" s="2">
        <v>373</v>
      </c>
      <c r="B146" s="3">
        <v>45370</v>
      </c>
      <c r="C146" s="2" t="s">
        <v>380</v>
      </c>
      <c r="D146" s="2" t="s">
        <v>529</v>
      </c>
      <c r="E146" s="2" t="s">
        <v>535</v>
      </c>
      <c r="F146" s="2">
        <v>8</v>
      </c>
      <c r="G146" s="2">
        <v>233.19</v>
      </c>
      <c r="H146" s="2">
        <v>1865.52</v>
      </c>
      <c r="I146" s="2">
        <v>186.55</v>
      </c>
      <c r="J146" s="2">
        <v>2052.0700000000002</v>
      </c>
      <c r="K146">
        <f t="shared" si="6"/>
        <v>1865.52</v>
      </c>
      <c r="M146" t="str">
        <f t="shared" si="7"/>
        <v>LOW</v>
      </c>
      <c r="N146" t="str">
        <f t="shared" si="8"/>
        <v>MEDIUM</v>
      </c>
    </row>
    <row r="147" spans="1:14" ht="29" x14ac:dyDescent="0.35">
      <c r="A147" s="2">
        <v>362</v>
      </c>
      <c r="B147" s="3">
        <v>45375</v>
      </c>
      <c r="C147" s="2" t="s">
        <v>369</v>
      </c>
      <c r="D147" s="2" t="s">
        <v>530</v>
      </c>
      <c r="E147" s="2" t="s">
        <v>537</v>
      </c>
      <c r="F147" s="2">
        <v>5</v>
      </c>
      <c r="G147" s="2">
        <v>371.19</v>
      </c>
      <c r="H147" s="2">
        <v>1855.95</v>
      </c>
      <c r="I147" s="2">
        <v>185.6</v>
      </c>
      <c r="J147" s="2">
        <v>2041.55</v>
      </c>
      <c r="K147">
        <f t="shared" si="6"/>
        <v>1855.95</v>
      </c>
      <c r="M147" t="str">
        <f t="shared" si="7"/>
        <v>LOW</v>
      </c>
      <c r="N147" t="str">
        <f t="shared" si="8"/>
        <v>MEDIUM</v>
      </c>
    </row>
    <row r="148" spans="1:14" ht="29" x14ac:dyDescent="0.35">
      <c r="A148" s="2">
        <v>92</v>
      </c>
      <c r="B148" s="3">
        <v>45626</v>
      </c>
      <c r="C148" s="2" t="s">
        <v>101</v>
      </c>
      <c r="D148" s="2" t="s">
        <v>516</v>
      </c>
      <c r="E148" s="2" t="s">
        <v>535</v>
      </c>
      <c r="F148" s="2">
        <v>4</v>
      </c>
      <c r="G148" s="2">
        <v>463.95</v>
      </c>
      <c r="H148" s="2">
        <v>1855.8</v>
      </c>
      <c r="I148" s="2">
        <v>185.58</v>
      </c>
      <c r="J148" s="2">
        <v>2041.38</v>
      </c>
      <c r="K148">
        <f t="shared" si="6"/>
        <v>1855.8</v>
      </c>
      <c r="M148" t="str">
        <f t="shared" si="7"/>
        <v>LOW</v>
      </c>
      <c r="N148" t="str">
        <f t="shared" si="8"/>
        <v>MEDIUM</v>
      </c>
    </row>
    <row r="149" spans="1:14" ht="29" x14ac:dyDescent="0.35">
      <c r="A149" s="2">
        <v>463</v>
      </c>
      <c r="B149" s="3">
        <v>45603</v>
      </c>
      <c r="C149" s="2" t="s">
        <v>470</v>
      </c>
      <c r="D149" s="2" t="s">
        <v>517</v>
      </c>
      <c r="E149" s="2" t="s">
        <v>537</v>
      </c>
      <c r="F149" s="2">
        <v>6</v>
      </c>
      <c r="G149" s="2">
        <v>307.60000000000002</v>
      </c>
      <c r="H149" s="2">
        <v>1845.6</v>
      </c>
      <c r="I149" s="2">
        <v>184.56</v>
      </c>
      <c r="J149" s="2">
        <v>2030.16</v>
      </c>
      <c r="K149">
        <f t="shared" si="6"/>
        <v>1845.6000000000001</v>
      </c>
      <c r="M149" t="str">
        <f t="shared" si="7"/>
        <v>LOW</v>
      </c>
      <c r="N149" t="str">
        <f t="shared" si="8"/>
        <v>MEDIUM</v>
      </c>
    </row>
    <row r="150" spans="1:14" ht="29" x14ac:dyDescent="0.35">
      <c r="A150" s="2">
        <v>388</v>
      </c>
      <c r="B150" s="3">
        <v>45635</v>
      </c>
      <c r="C150" s="2" t="s">
        <v>395</v>
      </c>
      <c r="D150" s="2" t="s">
        <v>514</v>
      </c>
      <c r="E150" s="2" t="s">
        <v>534</v>
      </c>
      <c r="F150" s="2">
        <v>6</v>
      </c>
      <c r="G150" s="2">
        <v>306.36</v>
      </c>
      <c r="H150" s="2">
        <v>1838.16</v>
      </c>
      <c r="I150" s="2">
        <v>183.82</v>
      </c>
      <c r="J150" s="2">
        <v>2021.98</v>
      </c>
      <c r="K150">
        <f t="shared" si="6"/>
        <v>1838.16</v>
      </c>
      <c r="M150" t="str">
        <f t="shared" si="7"/>
        <v>LOW</v>
      </c>
      <c r="N150" t="str">
        <f t="shared" si="8"/>
        <v>MEDIUM</v>
      </c>
    </row>
    <row r="151" spans="1:14" x14ac:dyDescent="0.35">
      <c r="A151" s="2">
        <v>134</v>
      </c>
      <c r="B151" s="3">
        <v>45335</v>
      </c>
      <c r="C151" s="2" t="s">
        <v>143</v>
      </c>
      <c r="D151" s="2" t="s">
        <v>511</v>
      </c>
      <c r="E151" s="2" t="s">
        <v>535</v>
      </c>
      <c r="F151" s="2">
        <v>7</v>
      </c>
      <c r="G151" s="2">
        <v>261.76</v>
      </c>
      <c r="H151" s="2">
        <v>1832.32</v>
      </c>
      <c r="I151" s="2">
        <v>183.23</v>
      </c>
      <c r="J151" s="2">
        <v>2015.55</v>
      </c>
      <c r="K151">
        <f t="shared" si="6"/>
        <v>1832.32</v>
      </c>
      <c r="M151" t="str">
        <f t="shared" si="7"/>
        <v>LOW</v>
      </c>
      <c r="N151" t="str">
        <f t="shared" si="8"/>
        <v>MEDIUM</v>
      </c>
    </row>
    <row r="152" spans="1:14" ht="29" x14ac:dyDescent="0.35">
      <c r="A152" s="2">
        <v>276</v>
      </c>
      <c r="B152" s="3">
        <v>45573</v>
      </c>
      <c r="C152" s="2" t="s">
        <v>283</v>
      </c>
      <c r="D152" s="2" t="s">
        <v>524</v>
      </c>
      <c r="E152" s="2" t="s">
        <v>534</v>
      </c>
      <c r="F152" s="2">
        <v>6</v>
      </c>
      <c r="G152" s="2">
        <v>300.76</v>
      </c>
      <c r="H152" s="2">
        <v>1804.56</v>
      </c>
      <c r="I152" s="2">
        <v>180.46</v>
      </c>
      <c r="J152" s="2">
        <v>1985.02</v>
      </c>
      <c r="K152">
        <f t="shared" si="6"/>
        <v>1804.56</v>
      </c>
      <c r="M152" t="str">
        <f t="shared" si="7"/>
        <v>LOW</v>
      </c>
      <c r="N152" t="str">
        <f t="shared" si="8"/>
        <v>MEDIUM</v>
      </c>
    </row>
    <row r="153" spans="1:14" x14ac:dyDescent="0.35">
      <c r="A153" s="2">
        <v>6</v>
      </c>
      <c r="B153" s="3">
        <v>45398</v>
      </c>
      <c r="C153" s="2" t="s">
        <v>15</v>
      </c>
      <c r="D153" s="2" t="s">
        <v>513</v>
      </c>
      <c r="E153" s="2" t="s">
        <v>535</v>
      </c>
      <c r="F153" s="2">
        <v>5</v>
      </c>
      <c r="G153" s="2">
        <v>360.61</v>
      </c>
      <c r="H153" s="2">
        <v>1803.05</v>
      </c>
      <c r="I153" s="2">
        <v>180.31</v>
      </c>
      <c r="J153" s="2">
        <v>1983.36</v>
      </c>
      <c r="K153">
        <f t="shared" si="6"/>
        <v>1803.0500000000002</v>
      </c>
      <c r="M153" t="str">
        <f t="shared" si="7"/>
        <v>LOW</v>
      </c>
      <c r="N153" t="str">
        <f t="shared" si="8"/>
        <v>MEDIUM</v>
      </c>
    </row>
    <row r="154" spans="1:14" ht="29" x14ac:dyDescent="0.35">
      <c r="A154" s="2">
        <v>231</v>
      </c>
      <c r="B154" s="3">
        <v>45621</v>
      </c>
      <c r="C154" s="2" t="s">
        <v>240</v>
      </c>
      <c r="D154" s="2" t="s">
        <v>528</v>
      </c>
      <c r="E154" s="2" t="s">
        <v>536</v>
      </c>
      <c r="F154" s="2">
        <v>5</v>
      </c>
      <c r="G154" s="2">
        <v>359.84</v>
      </c>
      <c r="H154" s="2">
        <v>1799.2</v>
      </c>
      <c r="I154" s="2">
        <v>179.92</v>
      </c>
      <c r="J154" s="2">
        <v>1979.12</v>
      </c>
      <c r="K154">
        <f t="shared" si="6"/>
        <v>1799.1999999999998</v>
      </c>
      <c r="M154" t="str">
        <f t="shared" si="7"/>
        <v>LOW</v>
      </c>
      <c r="N154" t="str">
        <f t="shared" si="8"/>
        <v>MEDIUM</v>
      </c>
    </row>
    <row r="155" spans="1:14" x14ac:dyDescent="0.35">
      <c r="A155" s="2">
        <v>445</v>
      </c>
      <c r="B155" s="3">
        <v>45402</v>
      </c>
      <c r="C155" s="2" t="s">
        <v>452</v>
      </c>
      <c r="D155" s="2" t="s">
        <v>532</v>
      </c>
      <c r="E155" s="2" t="s">
        <v>537</v>
      </c>
      <c r="F155" s="2">
        <v>9</v>
      </c>
      <c r="G155" s="2">
        <v>199.76</v>
      </c>
      <c r="H155" s="2">
        <v>1797.84</v>
      </c>
      <c r="I155" s="2">
        <v>179.78</v>
      </c>
      <c r="J155" s="2">
        <v>1977.62</v>
      </c>
      <c r="K155">
        <f t="shared" si="6"/>
        <v>1797.84</v>
      </c>
      <c r="M155" t="str">
        <f t="shared" si="7"/>
        <v>LOW</v>
      </c>
      <c r="N155" t="str">
        <f t="shared" si="8"/>
        <v>MEDIUM</v>
      </c>
    </row>
    <row r="156" spans="1:14" x14ac:dyDescent="0.35">
      <c r="A156" s="2">
        <v>307</v>
      </c>
      <c r="B156" s="3">
        <v>45478</v>
      </c>
      <c r="C156" s="2" t="s">
        <v>314</v>
      </c>
      <c r="D156" s="2" t="s">
        <v>522</v>
      </c>
      <c r="E156" s="2" t="s">
        <v>536</v>
      </c>
      <c r="F156" s="2">
        <v>4</v>
      </c>
      <c r="G156" s="2">
        <v>446.88</v>
      </c>
      <c r="H156" s="2">
        <v>1787.52</v>
      </c>
      <c r="I156" s="2">
        <v>178.75</v>
      </c>
      <c r="J156" s="2">
        <v>1966.27</v>
      </c>
      <c r="K156">
        <f t="shared" si="6"/>
        <v>1787.52</v>
      </c>
      <c r="M156" t="str">
        <f t="shared" si="7"/>
        <v>LOW</v>
      </c>
      <c r="N156" t="str">
        <f t="shared" si="8"/>
        <v>MEDIUM</v>
      </c>
    </row>
    <row r="157" spans="1:14" x14ac:dyDescent="0.35">
      <c r="A157" s="2">
        <v>108</v>
      </c>
      <c r="B157" s="3">
        <v>45330</v>
      </c>
      <c r="C157" s="2" t="s">
        <v>117</v>
      </c>
      <c r="D157" s="2" t="s">
        <v>525</v>
      </c>
      <c r="E157" s="2" t="s">
        <v>535</v>
      </c>
      <c r="F157" s="2">
        <v>4</v>
      </c>
      <c r="G157" s="2">
        <v>446</v>
      </c>
      <c r="H157" s="2">
        <v>1784</v>
      </c>
      <c r="I157" s="2">
        <v>178.4</v>
      </c>
      <c r="J157" s="2">
        <v>1962.4</v>
      </c>
      <c r="K157">
        <f t="shared" si="6"/>
        <v>1784</v>
      </c>
      <c r="M157" t="str">
        <f t="shared" si="7"/>
        <v>LOW</v>
      </c>
      <c r="N157" t="str">
        <f t="shared" si="8"/>
        <v>MEDIUM</v>
      </c>
    </row>
    <row r="158" spans="1:14" x14ac:dyDescent="0.35">
      <c r="A158" s="2">
        <v>115</v>
      </c>
      <c r="B158" s="3">
        <v>45683</v>
      </c>
      <c r="C158" s="2" t="s">
        <v>124</v>
      </c>
      <c r="D158" s="2" t="s">
        <v>532</v>
      </c>
      <c r="E158" s="2" t="s">
        <v>537</v>
      </c>
      <c r="F158" s="2">
        <v>7</v>
      </c>
      <c r="G158" s="2">
        <v>254.67</v>
      </c>
      <c r="H158" s="2">
        <v>1782.69</v>
      </c>
      <c r="I158" s="2">
        <v>178.27</v>
      </c>
      <c r="J158" s="2">
        <v>1960.96</v>
      </c>
      <c r="K158">
        <f t="shared" si="6"/>
        <v>1782.6899999999998</v>
      </c>
      <c r="M158" t="str">
        <f t="shared" si="7"/>
        <v>LOW</v>
      </c>
      <c r="N158" t="str">
        <f t="shared" si="8"/>
        <v>MEDIUM</v>
      </c>
    </row>
    <row r="159" spans="1:14" x14ac:dyDescent="0.35">
      <c r="A159" s="2">
        <v>396</v>
      </c>
      <c r="B159" s="3">
        <v>45690</v>
      </c>
      <c r="C159" s="2" t="s">
        <v>403</v>
      </c>
      <c r="D159" s="2" t="s">
        <v>508</v>
      </c>
      <c r="E159" s="2" t="s">
        <v>533</v>
      </c>
      <c r="F159" s="2">
        <v>10</v>
      </c>
      <c r="G159" s="2">
        <v>177.67</v>
      </c>
      <c r="H159" s="2">
        <v>1776.7</v>
      </c>
      <c r="I159" s="2">
        <v>177.67</v>
      </c>
      <c r="J159" s="2">
        <v>1954.37</v>
      </c>
      <c r="K159">
        <f t="shared" si="6"/>
        <v>1776.6999999999998</v>
      </c>
      <c r="M159" t="str">
        <f t="shared" si="7"/>
        <v>LOW</v>
      </c>
      <c r="N159" t="str">
        <f t="shared" si="8"/>
        <v>MEDIUM</v>
      </c>
    </row>
    <row r="160" spans="1:14" ht="29" x14ac:dyDescent="0.35">
      <c r="A160" s="2">
        <v>295</v>
      </c>
      <c r="B160" s="3">
        <v>45666</v>
      </c>
      <c r="C160" s="2" t="s">
        <v>302</v>
      </c>
      <c r="D160" s="2" t="s">
        <v>513</v>
      </c>
      <c r="E160" s="2" t="s">
        <v>535</v>
      </c>
      <c r="F160" s="2">
        <v>10</v>
      </c>
      <c r="G160" s="2">
        <v>175.45</v>
      </c>
      <c r="H160" s="2">
        <v>1754.5</v>
      </c>
      <c r="I160" s="2">
        <v>175.45</v>
      </c>
      <c r="J160" s="2">
        <v>1929.95</v>
      </c>
      <c r="K160">
        <f t="shared" si="6"/>
        <v>1754.5</v>
      </c>
      <c r="M160" t="str">
        <f t="shared" si="7"/>
        <v>LOW</v>
      </c>
      <c r="N160" t="str">
        <f t="shared" si="8"/>
        <v>MEDIUM</v>
      </c>
    </row>
    <row r="161" spans="1:14" ht="29" x14ac:dyDescent="0.35">
      <c r="A161" s="2">
        <v>488</v>
      </c>
      <c r="B161" s="3">
        <v>45499</v>
      </c>
      <c r="C161" s="2" t="s">
        <v>495</v>
      </c>
      <c r="D161" s="2" t="s">
        <v>517</v>
      </c>
      <c r="E161" s="2" t="s">
        <v>537</v>
      </c>
      <c r="F161" s="2">
        <v>10</v>
      </c>
      <c r="G161" s="2">
        <v>175.35</v>
      </c>
      <c r="H161" s="2">
        <v>1753.5</v>
      </c>
      <c r="I161" s="2">
        <v>175.35</v>
      </c>
      <c r="J161" s="2">
        <v>1928.85</v>
      </c>
      <c r="K161">
        <f t="shared" si="6"/>
        <v>1753.5</v>
      </c>
      <c r="M161" t="str">
        <f t="shared" si="7"/>
        <v>LOW</v>
      </c>
      <c r="N161" t="str">
        <f t="shared" si="8"/>
        <v>MEDIUM</v>
      </c>
    </row>
    <row r="162" spans="1:14" x14ac:dyDescent="0.35">
      <c r="A162" s="2">
        <v>390</v>
      </c>
      <c r="B162" s="3">
        <v>45508</v>
      </c>
      <c r="C162" s="2" t="s">
        <v>397</v>
      </c>
      <c r="D162" s="2" t="s">
        <v>509</v>
      </c>
      <c r="E162" s="2" t="s">
        <v>534</v>
      </c>
      <c r="F162" s="2">
        <v>4</v>
      </c>
      <c r="G162" s="2">
        <v>436.03</v>
      </c>
      <c r="H162" s="2">
        <v>1744.12</v>
      </c>
      <c r="I162" s="2">
        <v>174.41</v>
      </c>
      <c r="J162" s="2">
        <v>1918.53</v>
      </c>
      <c r="K162">
        <f t="shared" si="6"/>
        <v>1744.12</v>
      </c>
      <c r="M162" t="str">
        <f t="shared" si="7"/>
        <v>LOW</v>
      </c>
      <c r="N162" t="str">
        <f t="shared" si="8"/>
        <v>MEDIUM</v>
      </c>
    </row>
    <row r="163" spans="1:14" ht="29" x14ac:dyDescent="0.35">
      <c r="A163" s="2">
        <v>422</v>
      </c>
      <c r="B163" s="3">
        <v>45592</v>
      </c>
      <c r="C163" s="2" t="s">
        <v>429</v>
      </c>
      <c r="D163" s="2" t="s">
        <v>524</v>
      </c>
      <c r="E163" s="2" t="s">
        <v>534</v>
      </c>
      <c r="F163" s="2">
        <v>10</v>
      </c>
      <c r="G163" s="2">
        <v>171.65</v>
      </c>
      <c r="H163" s="2">
        <v>1716.5</v>
      </c>
      <c r="I163" s="2">
        <v>171.65</v>
      </c>
      <c r="J163" s="2">
        <v>1888.15</v>
      </c>
      <c r="K163">
        <f t="shared" si="6"/>
        <v>1716.5</v>
      </c>
      <c r="M163" t="str">
        <f t="shared" si="7"/>
        <v>LOW</v>
      </c>
      <c r="N163" t="str">
        <f t="shared" si="8"/>
        <v>MEDIUM</v>
      </c>
    </row>
    <row r="164" spans="1:14" x14ac:dyDescent="0.35">
      <c r="A164" s="2">
        <v>245</v>
      </c>
      <c r="B164" s="3">
        <v>45603</v>
      </c>
      <c r="C164" s="2" t="s">
        <v>254</v>
      </c>
      <c r="D164" s="2" t="s">
        <v>519</v>
      </c>
      <c r="E164" s="2" t="s">
        <v>537</v>
      </c>
      <c r="F164" s="2">
        <v>7</v>
      </c>
      <c r="G164" s="2">
        <v>244.88</v>
      </c>
      <c r="H164" s="2">
        <v>1714.16</v>
      </c>
      <c r="I164" s="2">
        <v>171.42</v>
      </c>
      <c r="J164" s="2">
        <v>1885.58</v>
      </c>
      <c r="K164">
        <f t="shared" si="6"/>
        <v>1714.1599999999999</v>
      </c>
      <c r="M164" t="str">
        <f t="shared" si="7"/>
        <v>LOW</v>
      </c>
      <c r="N164" t="str">
        <f t="shared" si="8"/>
        <v>MEDIUM</v>
      </c>
    </row>
    <row r="165" spans="1:14" x14ac:dyDescent="0.35">
      <c r="A165" s="2">
        <v>336</v>
      </c>
      <c r="B165" s="3">
        <v>45556</v>
      </c>
      <c r="C165" s="2" t="s">
        <v>343</v>
      </c>
      <c r="D165" s="2" t="s">
        <v>516</v>
      </c>
      <c r="E165" s="2" t="s">
        <v>535</v>
      </c>
      <c r="F165" s="2">
        <v>5</v>
      </c>
      <c r="G165" s="2">
        <v>341.72</v>
      </c>
      <c r="H165" s="2">
        <v>1708.6</v>
      </c>
      <c r="I165" s="2">
        <v>170.86</v>
      </c>
      <c r="J165" s="2">
        <v>1879.46</v>
      </c>
      <c r="K165">
        <f t="shared" si="6"/>
        <v>1708.6000000000001</v>
      </c>
      <c r="M165" t="str">
        <f t="shared" si="7"/>
        <v>LOW</v>
      </c>
      <c r="N165" t="str">
        <f t="shared" si="8"/>
        <v>MEDIUM</v>
      </c>
    </row>
    <row r="166" spans="1:14" x14ac:dyDescent="0.35">
      <c r="A166" s="2">
        <v>324</v>
      </c>
      <c r="B166" s="3">
        <v>45557</v>
      </c>
      <c r="C166" s="2" t="s">
        <v>331</v>
      </c>
      <c r="D166" s="2" t="s">
        <v>510</v>
      </c>
      <c r="E166" s="2" t="s">
        <v>533</v>
      </c>
      <c r="F166" s="2">
        <v>4</v>
      </c>
      <c r="G166" s="2">
        <v>424.7</v>
      </c>
      <c r="H166" s="2">
        <v>1698.8</v>
      </c>
      <c r="I166" s="2">
        <v>169.88</v>
      </c>
      <c r="J166" s="2">
        <v>1868.68</v>
      </c>
      <c r="K166">
        <f t="shared" si="6"/>
        <v>1698.8</v>
      </c>
      <c r="M166" t="str">
        <f t="shared" si="7"/>
        <v>LOW</v>
      </c>
      <c r="N166" t="str">
        <f t="shared" si="8"/>
        <v>MEDIUM</v>
      </c>
    </row>
    <row r="167" spans="1:14" ht="29" x14ac:dyDescent="0.35">
      <c r="A167" s="2">
        <v>53</v>
      </c>
      <c r="B167" s="3">
        <v>45627</v>
      </c>
      <c r="C167" s="2" t="s">
        <v>62</v>
      </c>
      <c r="D167" s="2" t="s">
        <v>514</v>
      </c>
      <c r="E167" s="2" t="s">
        <v>534</v>
      </c>
      <c r="F167" s="2">
        <v>5</v>
      </c>
      <c r="G167" s="2">
        <v>334.7</v>
      </c>
      <c r="H167" s="2">
        <v>1673.5</v>
      </c>
      <c r="I167" s="2">
        <v>167.35</v>
      </c>
      <c r="J167" s="2">
        <v>1840.85</v>
      </c>
      <c r="K167">
        <f t="shared" si="6"/>
        <v>1673.5</v>
      </c>
      <c r="M167" t="str">
        <f t="shared" si="7"/>
        <v>LOW</v>
      </c>
      <c r="N167" t="str">
        <f t="shared" si="8"/>
        <v>MEDIUM</v>
      </c>
    </row>
    <row r="168" spans="1:14" x14ac:dyDescent="0.35">
      <c r="A168" s="2">
        <v>412</v>
      </c>
      <c r="B168" s="3">
        <v>45620</v>
      </c>
      <c r="C168" s="2" t="s">
        <v>419</v>
      </c>
      <c r="D168" s="2" t="s">
        <v>518</v>
      </c>
      <c r="E168" s="2" t="s">
        <v>533</v>
      </c>
      <c r="F168" s="2">
        <v>6</v>
      </c>
      <c r="G168" s="2">
        <v>278.58</v>
      </c>
      <c r="H168" s="2">
        <v>1671.48</v>
      </c>
      <c r="I168" s="2">
        <v>167.15</v>
      </c>
      <c r="J168" s="2">
        <v>1838.63</v>
      </c>
      <c r="K168">
        <f t="shared" si="6"/>
        <v>1671.48</v>
      </c>
      <c r="M168" t="str">
        <f t="shared" si="7"/>
        <v>LOW</v>
      </c>
      <c r="N168" t="str">
        <f t="shared" si="8"/>
        <v>MEDIUM</v>
      </c>
    </row>
    <row r="169" spans="1:14" x14ac:dyDescent="0.35">
      <c r="A169" s="2">
        <v>244</v>
      </c>
      <c r="B169" s="3">
        <v>45639</v>
      </c>
      <c r="C169" s="2" t="s">
        <v>253</v>
      </c>
      <c r="D169" s="2" t="s">
        <v>509</v>
      </c>
      <c r="E169" s="2" t="s">
        <v>534</v>
      </c>
      <c r="F169" s="2">
        <v>5</v>
      </c>
      <c r="G169" s="2">
        <v>333.17</v>
      </c>
      <c r="H169" s="2">
        <v>1665.85</v>
      </c>
      <c r="I169" s="2">
        <v>166.59</v>
      </c>
      <c r="J169" s="2">
        <v>1832.44</v>
      </c>
      <c r="K169">
        <f t="shared" si="6"/>
        <v>1665.8500000000001</v>
      </c>
      <c r="M169" t="str">
        <f t="shared" si="7"/>
        <v>LOW</v>
      </c>
      <c r="N169" t="str">
        <f t="shared" si="8"/>
        <v>MEDIUM</v>
      </c>
    </row>
    <row r="170" spans="1:14" ht="29" x14ac:dyDescent="0.35">
      <c r="A170" s="2">
        <v>149</v>
      </c>
      <c r="B170" s="3">
        <v>45348</v>
      </c>
      <c r="C170" s="2" t="s">
        <v>158</v>
      </c>
      <c r="D170" s="2" t="s">
        <v>515</v>
      </c>
      <c r="E170" s="2" t="s">
        <v>536</v>
      </c>
      <c r="F170" s="2">
        <v>6</v>
      </c>
      <c r="G170" s="2">
        <v>277.52999999999997</v>
      </c>
      <c r="H170" s="2">
        <v>1665.18</v>
      </c>
      <c r="I170" s="2">
        <v>166.52</v>
      </c>
      <c r="J170" s="2">
        <v>1831.7</v>
      </c>
      <c r="K170">
        <f t="shared" si="6"/>
        <v>1665.1799999999998</v>
      </c>
      <c r="M170" t="str">
        <f t="shared" si="7"/>
        <v>LOW</v>
      </c>
      <c r="N170" t="str">
        <f t="shared" si="8"/>
        <v>MEDIUM</v>
      </c>
    </row>
    <row r="171" spans="1:14" x14ac:dyDescent="0.35">
      <c r="A171" s="2">
        <v>125</v>
      </c>
      <c r="B171" s="3">
        <v>45474</v>
      </c>
      <c r="C171" s="2" t="s">
        <v>134</v>
      </c>
      <c r="D171" s="2" t="s">
        <v>513</v>
      </c>
      <c r="E171" s="2" t="s">
        <v>535</v>
      </c>
      <c r="F171" s="2">
        <v>4</v>
      </c>
      <c r="G171" s="2">
        <v>412.62</v>
      </c>
      <c r="H171" s="2">
        <v>1650.48</v>
      </c>
      <c r="I171" s="2">
        <v>165.05</v>
      </c>
      <c r="J171" s="2">
        <v>1815.53</v>
      </c>
      <c r="K171">
        <f t="shared" si="6"/>
        <v>1650.48</v>
      </c>
      <c r="M171" t="str">
        <f t="shared" si="7"/>
        <v>LOW</v>
      </c>
      <c r="N171" t="str">
        <f t="shared" si="8"/>
        <v>MEDIUM</v>
      </c>
    </row>
    <row r="172" spans="1:14" ht="29" x14ac:dyDescent="0.35">
      <c r="A172" s="2">
        <v>43</v>
      </c>
      <c r="B172" s="3">
        <v>45484</v>
      </c>
      <c r="C172" s="2" t="s">
        <v>52</v>
      </c>
      <c r="D172" s="2" t="s">
        <v>515</v>
      </c>
      <c r="E172" s="2" t="s">
        <v>536</v>
      </c>
      <c r="F172" s="2">
        <v>6</v>
      </c>
      <c r="G172" s="2">
        <v>274.91000000000003</v>
      </c>
      <c r="H172" s="2">
        <v>1649.46</v>
      </c>
      <c r="I172" s="2">
        <v>164.95</v>
      </c>
      <c r="J172" s="2">
        <v>1814.41</v>
      </c>
      <c r="K172">
        <f t="shared" si="6"/>
        <v>1649.46</v>
      </c>
      <c r="M172" t="str">
        <f t="shared" si="7"/>
        <v>LOW</v>
      </c>
      <c r="N172" t="str">
        <f t="shared" si="8"/>
        <v>MEDIUM</v>
      </c>
    </row>
    <row r="173" spans="1:14" x14ac:dyDescent="0.35">
      <c r="A173" s="2">
        <v>163</v>
      </c>
      <c r="B173" s="3">
        <v>45550</v>
      </c>
      <c r="C173" s="2" t="s">
        <v>172</v>
      </c>
      <c r="D173" s="2" t="s">
        <v>523</v>
      </c>
      <c r="E173" s="2" t="s">
        <v>534</v>
      </c>
      <c r="F173" s="2">
        <v>9</v>
      </c>
      <c r="G173" s="2">
        <v>182.96</v>
      </c>
      <c r="H173" s="2">
        <v>1646.64</v>
      </c>
      <c r="I173" s="2">
        <v>164.66</v>
      </c>
      <c r="J173" s="2">
        <v>1811.3</v>
      </c>
      <c r="K173">
        <f t="shared" si="6"/>
        <v>1646.64</v>
      </c>
      <c r="M173" t="str">
        <f t="shared" si="7"/>
        <v>LOW</v>
      </c>
      <c r="N173" t="str">
        <f t="shared" si="8"/>
        <v>MEDIUM</v>
      </c>
    </row>
    <row r="174" spans="1:14" ht="29" x14ac:dyDescent="0.35">
      <c r="A174" s="2">
        <v>472</v>
      </c>
      <c r="B174" s="3">
        <v>45565</v>
      </c>
      <c r="C174" s="2" t="s">
        <v>479</v>
      </c>
      <c r="D174" s="2" t="s">
        <v>514</v>
      </c>
      <c r="E174" s="2" t="s">
        <v>534</v>
      </c>
      <c r="F174" s="2">
        <v>6</v>
      </c>
      <c r="G174" s="2">
        <v>274.26</v>
      </c>
      <c r="H174" s="2">
        <v>1645.56</v>
      </c>
      <c r="I174" s="2">
        <v>164.56</v>
      </c>
      <c r="J174" s="2">
        <v>1810.12</v>
      </c>
      <c r="K174">
        <f t="shared" si="6"/>
        <v>1645.56</v>
      </c>
      <c r="M174" t="str">
        <f t="shared" si="7"/>
        <v>LOW</v>
      </c>
      <c r="N174" t="str">
        <f t="shared" si="8"/>
        <v>MEDIUM</v>
      </c>
    </row>
    <row r="175" spans="1:14" x14ac:dyDescent="0.35">
      <c r="A175" s="2">
        <v>19</v>
      </c>
      <c r="B175" s="3">
        <v>45564</v>
      </c>
      <c r="C175" s="2" t="s">
        <v>28</v>
      </c>
      <c r="D175" s="2" t="s">
        <v>518</v>
      </c>
      <c r="E175" s="2" t="s">
        <v>533</v>
      </c>
      <c r="F175" s="2">
        <v>4</v>
      </c>
      <c r="G175" s="2">
        <v>407.97</v>
      </c>
      <c r="H175" s="2">
        <v>1631.88</v>
      </c>
      <c r="I175" s="2">
        <v>163.19</v>
      </c>
      <c r="J175" s="2">
        <v>1795.07</v>
      </c>
      <c r="K175">
        <f t="shared" si="6"/>
        <v>1631.88</v>
      </c>
      <c r="M175" t="str">
        <f t="shared" si="7"/>
        <v>LOW</v>
      </c>
      <c r="N175" t="str">
        <f t="shared" si="8"/>
        <v>MEDIUM</v>
      </c>
    </row>
    <row r="176" spans="1:14" ht="29" x14ac:dyDescent="0.35">
      <c r="A176" s="2">
        <v>321</v>
      </c>
      <c r="B176" s="3">
        <v>45412</v>
      </c>
      <c r="C176" s="2" t="s">
        <v>328</v>
      </c>
      <c r="D176" s="2" t="s">
        <v>515</v>
      </c>
      <c r="E176" s="2" t="s">
        <v>536</v>
      </c>
      <c r="F176" s="2">
        <v>8</v>
      </c>
      <c r="G176" s="2">
        <v>203.73</v>
      </c>
      <c r="H176" s="2">
        <v>1629.84</v>
      </c>
      <c r="I176" s="2">
        <v>162.97999999999999</v>
      </c>
      <c r="J176" s="2">
        <v>1792.82</v>
      </c>
      <c r="K176">
        <f t="shared" si="6"/>
        <v>1629.84</v>
      </c>
      <c r="M176" t="str">
        <f t="shared" si="7"/>
        <v>LOW</v>
      </c>
      <c r="N176" t="str">
        <f t="shared" si="8"/>
        <v>MEDIUM</v>
      </c>
    </row>
    <row r="177" spans="1:14" x14ac:dyDescent="0.35">
      <c r="A177" s="2">
        <v>2</v>
      </c>
      <c r="B177" s="3">
        <v>45577</v>
      </c>
      <c r="C177" s="2" t="s">
        <v>11</v>
      </c>
      <c r="D177" s="2" t="s">
        <v>509</v>
      </c>
      <c r="E177" s="2" t="s">
        <v>534</v>
      </c>
      <c r="F177" s="2">
        <v>8</v>
      </c>
      <c r="G177" s="2">
        <v>201.16</v>
      </c>
      <c r="H177" s="2">
        <v>1609.28</v>
      </c>
      <c r="I177" s="2">
        <v>160.93</v>
      </c>
      <c r="J177" s="2">
        <v>1770.21</v>
      </c>
      <c r="K177">
        <f t="shared" si="6"/>
        <v>1609.28</v>
      </c>
      <c r="M177" t="str">
        <f t="shared" si="7"/>
        <v>LOW</v>
      </c>
      <c r="N177" t="str">
        <f t="shared" si="8"/>
        <v>MEDIUM</v>
      </c>
    </row>
    <row r="178" spans="1:14" x14ac:dyDescent="0.35">
      <c r="A178" s="2">
        <v>197</v>
      </c>
      <c r="B178" s="3">
        <v>45410</v>
      </c>
      <c r="C178" s="2" t="s">
        <v>206</v>
      </c>
      <c r="D178" s="2" t="s">
        <v>518</v>
      </c>
      <c r="E178" s="2" t="s">
        <v>533</v>
      </c>
      <c r="F178" s="2">
        <v>5</v>
      </c>
      <c r="G178" s="2">
        <v>318.8</v>
      </c>
      <c r="H178" s="2">
        <v>1594</v>
      </c>
      <c r="I178" s="2">
        <v>159.4</v>
      </c>
      <c r="J178" s="2">
        <v>1753.4</v>
      </c>
      <c r="K178">
        <f t="shared" si="6"/>
        <v>1594</v>
      </c>
      <c r="M178" t="str">
        <f t="shared" si="7"/>
        <v>LOW</v>
      </c>
      <c r="N178" t="str">
        <f t="shared" si="8"/>
        <v>MEDIUM</v>
      </c>
    </row>
    <row r="179" spans="1:14" x14ac:dyDescent="0.35">
      <c r="A179" s="2">
        <v>297</v>
      </c>
      <c r="B179" s="3">
        <v>45526</v>
      </c>
      <c r="C179" s="2" t="s">
        <v>304</v>
      </c>
      <c r="D179" s="2" t="s">
        <v>531</v>
      </c>
      <c r="E179" s="2" t="s">
        <v>533</v>
      </c>
      <c r="F179" s="2">
        <v>8</v>
      </c>
      <c r="G179" s="2">
        <v>198.16</v>
      </c>
      <c r="H179" s="2">
        <v>1585.28</v>
      </c>
      <c r="I179" s="2">
        <v>158.53</v>
      </c>
      <c r="J179" s="2">
        <v>1743.81</v>
      </c>
      <c r="K179">
        <f t="shared" si="6"/>
        <v>1585.28</v>
      </c>
      <c r="M179" t="str">
        <f t="shared" si="7"/>
        <v>LOW</v>
      </c>
      <c r="N179" t="str">
        <f t="shared" si="8"/>
        <v>MEDIUM</v>
      </c>
    </row>
    <row r="180" spans="1:14" x14ac:dyDescent="0.35">
      <c r="A180" s="2">
        <v>438</v>
      </c>
      <c r="B180" s="3">
        <v>45450</v>
      </c>
      <c r="C180" s="2" t="s">
        <v>445</v>
      </c>
      <c r="D180" s="2" t="s">
        <v>518</v>
      </c>
      <c r="E180" s="2" t="s">
        <v>533</v>
      </c>
      <c r="F180" s="2">
        <v>7</v>
      </c>
      <c r="G180" s="2">
        <v>224.65</v>
      </c>
      <c r="H180" s="2">
        <v>1572.55</v>
      </c>
      <c r="I180" s="2">
        <v>157.25</v>
      </c>
      <c r="J180" s="2">
        <v>1729.8</v>
      </c>
      <c r="K180">
        <f t="shared" si="6"/>
        <v>1572.55</v>
      </c>
      <c r="M180" t="str">
        <f t="shared" si="7"/>
        <v>LOW</v>
      </c>
      <c r="N180" t="str">
        <f t="shared" si="8"/>
        <v>MEDIUM</v>
      </c>
    </row>
    <row r="181" spans="1:14" ht="29" x14ac:dyDescent="0.35">
      <c r="A181" s="2">
        <v>194</v>
      </c>
      <c r="B181" s="3">
        <v>45631</v>
      </c>
      <c r="C181" s="2" t="s">
        <v>203</v>
      </c>
      <c r="D181" s="2" t="s">
        <v>522</v>
      </c>
      <c r="E181" s="2" t="s">
        <v>536</v>
      </c>
      <c r="F181" s="2">
        <v>5</v>
      </c>
      <c r="G181" s="2">
        <v>313.76</v>
      </c>
      <c r="H181" s="2">
        <v>1568.8</v>
      </c>
      <c r="I181" s="2">
        <v>156.88</v>
      </c>
      <c r="J181" s="2">
        <v>1725.68</v>
      </c>
      <c r="K181">
        <f t="shared" si="6"/>
        <v>1568.8</v>
      </c>
      <c r="M181" t="str">
        <f t="shared" si="7"/>
        <v>LOW</v>
      </c>
      <c r="N181" t="str">
        <f t="shared" si="8"/>
        <v>MEDIUM</v>
      </c>
    </row>
    <row r="182" spans="1:14" x14ac:dyDescent="0.35">
      <c r="A182" s="2">
        <v>287</v>
      </c>
      <c r="B182" s="3">
        <v>45565</v>
      </c>
      <c r="C182" s="2" t="s">
        <v>294</v>
      </c>
      <c r="D182" s="2" t="s">
        <v>526</v>
      </c>
      <c r="E182" s="2" t="s">
        <v>537</v>
      </c>
      <c r="F182" s="2">
        <v>8</v>
      </c>
      <c r="G182" s="2">
        <v>195.78</v>
      </c>
      <c r="H182" s="2">
        <v>1566.24</v>
      </c>
      <c r="I182" s="2">
        <v>156.62</v>
      </c>
      <c r="J182" s="2">
        <v>1722.86</v>
      </c>
      <c r="K182">
        <f t="shared" si="6"/>
        <v>1566.24</v>
      </c>
      <c r="M182" t="str">
        <f t="shared" si="7"/>
        <v>LOW</v>
      </c>
      <c r="N182" t="str">
        <f t="shared" si="8"/>
        <v>MEDIUM</v>
      </c>
    </row>
    <row r="183" spans="1:14" x14ac:dyDescent="0.35">
      <c r="A183" s="2">
        <v>69</v>
      </c>
      <c r="B183" s="3">
        <v>45604</v>
      </c>
      <c r="C183" s="2" t="s">
        <v>78</v>
      </c>
      <c r="D183" s="2" t="s">
        <v>518</v>
      </c>
      <c r="E183" s="2" t="s">
        <v>533</v>
      </c>
      <c r="F183" s="2">
        <v>4</v>
      </c>
      <c r="G183" s="2">
        <v>390.6</v>
      </c>
      <c r="H183" s="2">
        <v>1562.4</v>
      </c>
      <c r="I183" s="2">
        <v>156.24</v>
      </c>
      <c r="J183" s="2">
        <v>1718.64</v>
      </c>
      <c r="K183">
        <f t="shared" si="6"/>
        <v>1562.4</v>
      </c>
      <c r="M183" t="str">
        <f t="shared" si="7"/>
        <v>LOW</v>
      </c>
      <c r="N183" t="str">
        <f t="shared" si="8"/>
        <v>MEDIUM</v>
      </c>
    </row>
    <row r="184" spans="1:14" x14ac:dyDescent="0.35">
      <c r="A184" s="2">
        <v>187</v>
      </c>
      <c r="B184" s="3">
        <v>45670</v>
      </c>
      <c r="C184" s="2" t="s">
        <v>196</v>
      </c>
      <c r="D184" s="2" t="s">
        <v>512</v>
      </c>
      <c r="E184" s="2" t="s">
        <v>534</v>
      </c>
      <c r="F184" s="2">
        <v>5</v>
      </c>
      <c r="G184" s="2">
        <v>311.64</v>
      </c>
      <c r="H184" s="2">
        <v>1558.2</v>
      </c>
      <c r="I184" s="2">
        <v>155.82</v>
      </c>
      <c r="J184" s="2">
        <v>1714.02</v>
      </c>
      <c r="K184">
        <f t="shared" si="6"/>
        <v>1558.1999999999998</v>
      </c>
      <c r="M184" t="str">
        <f t="shared" si="7"/>
        <v>LOW</v>
      </c>
      <c r="N184" t="str">
        <f t="shared" si="8"/>
        <v>MEDIUM</v>
      </c>
    </row>
    <row r="185" spans="1:14" x14ac:dyDescent="0.35">
      <c r="A185" s="2">
        <v>380</v>
      </c>
      <c r="B185" s="3">
        <v>45549</v>
      </c>
      <c r="C185" s="2" t="s">
        <v>387</v>
      </c>
      <c r="D185" s="2" t="s">
        <v>516</v>
      </c>
      <c r="E185" s="2" t="s">
        <v>535</v>
      </c>
      <c r="F185" s="2">
        <v>5</v>
      </c>
      <c r="G185" s="2">
        <v>306.92</v>
      </c>
      <c r="H185" s="2">
        <v>1534.6</v>
      </c>
      <c r="I185" s="2">
        <v>153.46</v>
      </c>
      <c r="J185" s="2">
        <v>1688.06</v>
      </c>
      <c r="K185">
        <f t="shared" si="6"/>
        <v>1534.6000000000001</v>
      </c>
      <c r="M185" t="str">
        <f t="shared" si="7"/>
        <v>LOW</v>
      </c>
      <c r="N185" t="str">
        <f t="shared" si="8"/>
        <v>MEDIUM</v>
      </c>
    </row>
    <row r="186" spans="1:14" ht="29" x14ac:dyDescent="0.35">
      <c r="A186" s="2">
        <v>496</v>
      </c>
      <c r="B186" s="3">
        <v>45423</v>
      </c>
      <c r="C186" s="2" t="s">
        <v>503</v>
      </c>
      <c r="D186" s="2" t="s">
        <v>522</v>
      </c>
      <c r="E186" s="2" t="s">
        <v>536</v>
      </c>
      <c r="F186" s="2">
        <v>9</v>
      </c>
      <c r="G186" s="2">
        <v>169.65</v>
      </c>
      <c r="H186" s="2">
        <v>1526.85</v>
      </c>
      <c r="I186" s="2">
        <v>152.69</v>
      </c>
      <c r="J186" s="2">
        <v>1679.54</v>
      </c>
      <c r="K186">
        <f t="shared" si="6"/>
        <v>1526.8500000000001</v>
      </c>
      <c r="M186" t="str">
        <f t="shared" si="7"/>
        <v>LOW</v>
      </c>
      <c r="N186" t="str">
        <f t="shared" si="8"/>
        <v>MEDIUM</v>
      </c>
    </row>
    <row r="187" spans="1:14" ht="29" x14ac:dyDescent="0.35">
      <c r="A187" s="2">
        <v>178</v>
      </c>
      <c r="B187" s="3">
        <v>45344</v>
      </c>
      <c r="C187" s="2" t="s">
        <v>187</v>
      </c>
      <c r="D187" s="2" t="s">
        <v>527</v>
      </c>
      <c r="E187" s="2" t="s">
        <v>536</v>
      </c>
      <c r="F187" s="2">
        <v>6</v>
      </c>
      <c r="G187" s="2">
        <v>253.8</v>
      </c>
      <c r="H187" s="2">
        <v>1522.8</v>
      </c>
      <c r="I187" s="2">
        <v>152.28</v>
      </c>
      <c r="J187" s="2">
        <v>1675.08</v>
      </c>
      <c r="K187">
        <f t="shared" si="6"/>
        <v>1522.8000000000002</v>
      </c>
      <c r="M187" t="str">
        <f t="shared" si="7"/>
        <v>LOW</v>
      </c>
      <c r="N187" t="str">
        <f t="shared" si="8"/>
        <v>MEDIUM</v>
      </c>
    </row>
    <row r="188" spans="1:14" ht="29" x14ac:dyDescent="0.35">
      <c r="A188" s="2">
        <v>308</v>
      </c>
      <c r="B188" s="3">
        <v>45356</v>
      </c>
      <c r="C188" s="2" t="s">
        <v>315</v>
      </c>
      <c r="D188" s="2" t="s">
        <v>529</v>
      </c>
      <c r="E188" s="2" t="s">
        <v>535</v>
      </c>
      <c r="F188" s="2">
        <v>7</v>
      </c>
      <c r="G188" s="2">
        <v>217.01</v>
      </c>
      <c r="H188" s="2">
        <v>1519.07</v>
      </c>
      <c r="I188" s="2">
        <v>151.91</v>
      </c>
      <c r="J188" s="2">
        <v>1670.98</v>
      </c>
      <c r="K188">
        <f t="shared" si="6"/>
        <v>1519.07</v>
      </c>
      <c r="M188" t="str">
        <f t="shared" si="7"/>
        <v>LOW</v>
      </c>
      <c r="N188" t="str">
        <f t="shared" si="8"/>
        <v>MEDIUM</v>
      </c>
    </row>
    <row r="189" spans="1:14" ht="29" x14ac:dyDescent="0.35">
      <c r="A189" s="2">
        <v>355</v>
      </c>
      <c r="B189" s="3">
        <v>45669</v>
      </c>
      <c r="C189" s="2" t="s">
        <v>362</v>
      </c>
      <c r="D189" s="2" t="s">
        <v>530</v>
      </c>
      <c r="E189" s="2" t="s">
        <v>537</v>
      </c>
      <c r="F189" s="2">
        <v>4</v>
      </c>
      <c r="G189" s="2">
        <v>378.1</v>
      </c>
      <c r="H189" s="2">
        <v>1512.4</v>
      </c>
      <c r="I189" s="2">
        <v>151.24</v>
      </c>
      <c r="J189" s="2">
        <v>1663.64</v>
      </c>
      <c r="K189">
        <f t="shared" si="6"/>
        <v>1512.4</v>
      </c>
      <c r="M189" t="str">
        <f t="shared" si="7"/>
        <v>LOW</v>
      </c>
      <c r="N189" t="str">
        <f t="shared" si="8"/>
        <v>MEDIUM</v>
      </c>
    </row>
    <row r="190" spans="1:14" x14ac:dyDescent="0.35">
      <c r="A190" s="2">
        <v>74</v>
      </c>
      <c r="B190" s="3">
        <v>45663</v>
      </c>
      <c r="C190" s="2" t="s">
        <v>83</v>
      </c>
      <c r="D190" s="2" t="s">
        <v>520</v>
      </c>
      <c r="E190" s="2" t="s">
        <v>536</v>
      </c>
      <c r="F190" s="2">
        <v>4</v>
      </c>
      <c r="G190" s="2">
        <v>373.73</v>
      </c>
      <c r="H190" s="2">
        <v>1494.92</v>
      </c>
      <c r="I190" s="2">
        <v>149.49</v>
      </c>
      <c r="J190" s="2">
        <v>1644.41</v>
      </c>
      <c r="K190">
        <f t="shared" si="6"/>
        <v>1494.92</v>
      </c>
      <c r="M190" t="str">
        <f t="shared" si="7"/>
        <v>LOW</v>
      </c>
      <c r="N190" t="str">
        <f t="shared" si="8"/>
        <v>MEDIUM</v>
      </c>
    </row>
    <row r="191" spans="1:14" x14ac:dyDescent="0.35">
      <c r="A191" s="2">
        <v>425</v>
      </c>
      <c r="B191" s="3">
        <v>45610</v>
      </c>
      <c r="C191" s="2" t="s">
        <v>432</v>
      </c>
      <c r="D191" s="2" t="s">
        <v>525</v>
      </c>
      <c r="E191" s="2" t="s">
        <v>535</v>
      </c>
      <c r="F191" s="2">
        <v>9</v>
      </c>
      <c r="G191" s="2">
        <v>165.59</v>
      </c>
      <c r="H191" s="2">
        <v>1490.31</v>
      </c>
      <c r="I191" s="2">
        <v>149.03</v>
      </c>
      <c r="J191" s="2">
        <v>1639.34</v>
      </c>
      <c r="K191">
        <f t="shared" si="6"/>
        <v>1490.31</v>
      </c>
      <c r="M191" t="str">
        <f t="shared" si="7"/>
        <v>LOW</v>
      </c>
      <c r="N191" t="str">
        <f t="shared" si="8"/>
        <v>MEDIUM</v>
      </c>
    </row>
    <row r="192" spans="1:14" x14ac:dyDescent="0.35">
      <c r="A192" s="2">
        <v>63</v>
      </c>
      <c r="B192" s="3">
        <v>45642</v>
      </c>
      <c r="C192" s="2" t="s">
        <v>72</v>
      </c>
      <c r="D192" s="2" t="s">
        <v>516</v>
      </c>
      <c r="E192" s="2" t="s">
        <v>535</v>
      </c>
      <c r="F192" s="2">
        <v>4</v>
      </c>
      <c r="G192" s="2">
        <v>371.8</v>
      </c>
      <c r="H192" s="2">
        <v>1487.2</v>
      </c>
      <c r="I192" s="2">
        <v>148.72</v>
      </c>
      <c r="J192" s="2">
        <v>1635.92</v>
      </c>
      <c r="K192">
        <f t="shared" si="6"/>
        <v>1487.2</v>
      </c>
      <c r="M192" t="str">
        <f t="shared" si="7"/>
        <v>LOW</v>
      </c>
      <c r="N192" t="str">
        <f t="shared" si="8"/>
        <v>MEDIUM</v>
      </c>
    </row>
    <row r="193" spans="1:14" x14ac:dyDescent="0.35">
      <c r="A193" s="2">
        <v>334</v>
      </c>
      <c r="B193" s="3">
        <v>45399</v>
      </c>
      <c r="C193" s="2" t="s">
        <v>341</v>
      </c>
      <c r="D193" s="2" t="s">
        <v>529</v>
      </c>
      <c r="E193" s="2" t="s">
        <v>535</v>
      </c>
      <c r="F193" s="2">
        <v>3</v>
      </c>
      <c r="G193" s="2">
        <v>495.66</v>
      </c>
      <c r="H193" s="2">
        <v>1486.98</v>
      </c>
      <c r="I193" s="2">
        <v>148.69999999999999</v>
      </c>
      <c r="J193" s="2">
        <v>1635.68</v>
      </c>
      <c r="K193">
        <f t="shared" si="6"/>
        <v>1486.98</v>
      </c>
      <c r="M193" t="str">
        <f t="shared" si="7"/>
        <v>LOW</v>
      </c>
      <c r="N193" t="str">
        <f t="shared" si="8"/>
        <v>MEDIUM</v>
      </c>
    </row>
    <row r="194" spans="1:14" x14ac:dyDescent="0.35">
      <c r="A194" s="2">
        <v>107</v>
      </c>
      <c r="B194" s="3">
        <v>45603</v>
      </c>
      <c r="C194" s="2" t="s">
        <v>116</v>
      </c>
      <c r="D194" s="2" t="s">
        <v>532</v>
      </c>
      <c r="E194" s="2" t="s">
        <v>537</v>
      </c>
      <c r="F194" s="2">
        <v>4</v>
      </c>
      <c r="G194" s="2">
        <v>371.7</v>
      </c>
      <c r="H194" s="2">
        <v>1486.8</v>
      </c>
      <c r="I194" s="2">
        <v>148.68</v>
      </c>
      <c r="J194" s="2">
        <v>1635.48</v>
      </c>
      <c r="K194">
        <f t="shared" si="6"/>
        <v>1486.8</v>
      </c>
      <c r="M194" t="str">
        <f t="shared" si="7"/>
        <v>LOW</v>
      </c>
      <c r="N194" t="str">
        <f t="shared" si="8"/>
        <v>MEDIUM</v>
      </c>
    </row>
    <row r="195" spans="1:14" ht="29" x14ac:dyDescent="0.35">
      <c r="A195" s="2">
        <v>493</v>
      </c>
      <c r="B195" s="3">
        <v>45446</v>
      </c>
      <c r="C195" s="2" t="s">
        <v>500</v>
      </c>
      <c r="D195" s="2" t="s">
        <v>528</v>
      </c>
      <c r="E195" s="2" t="s">
        <v>536</v>
      </c>
      <c r="F195" s="2">
        <v>3</v>
      </c>
      <c r="G195" s="2">
        <v>493.82</v>
      </c>
      <c r="H195" s="2">
        <v>1481.46</v>
      </c>
      <c r="I195" s="2">
        <v>148.15</v>
      </c>
      <c r="J195" s="2">
        <v>1629.61</v>
      </c>
      <c r="K195">
        <f t="shared" ref="K195:K258" si="9">F195*G195</f>
        <v>1481.46</v>
      </c>
      <c r="M195" t="str">
        <f t="shared" ref="M195:M258" si="10">IF(H195&gt;2500,"HIGH","LOW")</f>
        <v>LOW</v>
      </c>
      <c r="N195" t="str">
        <f t="shared" ref="N195:N258" si="11">IF(H195&gt;2500,"HIGH",IF(H195&lt;1000,"LOW","MEDIUM"))</f>
        <v>MEDIUM</v>
      </c>
    </row>
    <row r="196" spans="1:14" x14ac:dyDescent="0.35">
      <c r="A196" s="2">
        <v>67</v>
      </c>
      <c r="B196" s="3">
        <v>45639</v>
      </c>
      <c r="C196" s="2" t="s">
        <v>76</v>
      </c>
      <c r="D196" s="2" t="s">
        <v>521</v>
      </c>
      <c r="E196" s="2" t="s">
        <v>533</v>
      </c>
      <c r="F196" s="2">
        <v>3</v>
      </c>
      <c r="G196" s="2">
        <v>491.57</v>
      </c>
      <c r="H196" s="2">
        <v>1474.71</v>
      </c>
      <c r="I196" s="2">
        <v>147.47</v>
      </c>
      <c r="J196" s="2">
        <v>1622.18</v>
      </c>
      <c r="K196">
        <f t="shared" si="9"/>
        <v>1474.71</v>
      </c>
      <c r="M196" t="str">
        <f t="shared" si="10"/>
        <v>LOW</v>
      </c>
      <c r="N196" t="str">
        <f t="shared" si="11"/>
        <v>MEDIUM</v>
      </c>
    </row>
    <row r="197" spans="1:14" x14ac:dyDescent="0.35">
      <c r="A197" s="2">
        <v>86</v>
      </c>
      <c r="B197" s="3">
        <v>45397</v>
      </c>
      <c r="C197" s="2" t="s">
        <v>95</v>
      </c>
      <c r="D197" s="2" t="s">
        <v>520</v>
      </c>
      <c r="E197" s="2" t="s">
        <v>536</v>
      </c>
      <c r="F197" s="2">
        <v>10</v>
      </c>
      <c r="G197" s="2">
        <v>147.09</v>
      </c>
      <c r="H197" s="2">
        <v>1470.9</v>
      </c>
      <c r="I197" s="2">
        <v>147.09</v>
      </c>
      <c r="J197" s="2">
        <v>1617.99</v>
      </c>
      <c r="K197">
        <f t="shared" si="9"/>
        <v>1470.9</v>
      </c>
      <c r="M197" t="str">
        <f t="shared" si="10"/>
        <v>LOW</v>
      </c>
      <c r="N197" t="str">
        <f t="shared" si="11"/>
        <v>MEDIUM</v>
      </c>
    </row>
    <row r="198" spans="1:14" ht="29" x14ac:dyDescent="0.35">
      <c r="A198" s="2">
        <v>403</v>
      </c>
      <c r="B198" s="3">
        <v>45411</v>
      </c>
      <c r="C198" s="2" t="s">
        <v>410</v>
      </c>
      <c r="D198" s="2" t="s">
        <v>524</v>
      </c>
      <c r="E198" s="2" t="s">
        <v>534</v>
      </c>
      <c r="F198" s="2">
        <v>8</v>
      </c>
      <c r="G198" s="2">
        <v>183.52</v>
      </c>
      <c r="H198" s="2">
        <v>1468.16</v>
      </c>
      <c r="I198" s="2">
        <v>146.82</v>
      </c>
      <c r="J198" s="2">
        <v>1614.98</v>
      </c>
      <c r="K198">
        <f t="shared" si="9"/>
        <v>1468.16</v>
      </c>
      <c r="M198" t="str">
        <f t="shared" si="10"/>
        <v>LOW</v>
      </c>
      <c r="N198" t="str">
        <f t="shared" si="11"/>
        <v>MEDIUM</v>
      </c>
    </row>
    <row r="199" spans="1:14" x14ac:dyDescent="0.35">
      <c r="A199" s="2">
        <v>418</v>
      </c>
      <c r="B199" s="3">
        <v>45536</v>
      </c>
      <c r="C199" s="2" t="s">
        <v>425</v>
      </c>
      <c r="D199" s="2" t="s">
        <v>520</v>
      </c>
      <c r="E199" s="2" t="s">
        <v>536</v>
      </c>
      <c r="F199" s="2">
        <v>8</v>
      </c>
      <c r="G199" s="2">
        <v>183.43</v>
      </c>
      <c r="H199" s="2">
        <v>1467.44</v>
      </c>
      <c r="I199" s="2">
        <v>146.74</v>
      </c>
      <c r="J199" s="2">
        <v>1614.18</v>
      </c>
      <c r="K199">
        <f t="shared" si="9"/>
        <v>1467.44</v>
      </c>
      <c r="M199" t="str">
        <f t="shared" si="10"/>
        <v>LOW</v>
      </c>
      <c r="N199" t="str">
        <f t="shared" si="11"/>
        <v>MEDIUM</v>
      </c>
    </row>
    <row r="200" spans="1:14" x14ac:dyDescent="0.35">
      <c r="A200" s="2">
        <v>59</v>
      </c>
      <c r="B200" s="3">
        <v>45534</v>
      </c>
      <c r="C200" s="2" t="s">
        <v>68</v>
      </c>
      <c r="D200" s="2" t="s">
        <v>519</v>
      </c>
      <c r="E200" s="2" t="s">
        <v>537</v>
      </c>
      <c r="F200" s="2">
        <v>3</v>
      </c>
      <c r="G200" s="2">
        <v>489.08</v>
      </c>
      <c r="H200" s="2">
        <v>1467.24</v>
      </c>
      <c r="I200" s="2">
        <v>146.72</v>
      </c>
      <c r="J200" s="2">
        <v>1613.96</v>
      </c>
      <c r="K200">
        <f t="shared" si="9"/>
        <v>1467.24</v>
      </c>
      <c r="M200" t="str">
        <f t="shared" si="10"/>
        <v>LOW</v>
      </c>
      <c r="N200" t="str">
        <f t="shared" si="11"/>
        <v>MEDIUM</v>
      </c>
    </row>
    <row r="201" spans="1:14" x14ac:dyDescent="0.35">
      <c r="A201" s="2">
        <v>113</v>
      </c>
      <c r="B201" s="3">
        <v>45558</v>
      </c>
      <c r="C201" s="2" t="s">
        <v>122</v>
      </c>
      <c r="D201" s="2" t="s">
        <v>526</v>
      </c>
      <c r="E201" s="2" t="s">
        <v>537</v>
      </c>
      <c r="F201" s="2">
        <v>8</v>
      </c>
      <c r="G201" s="2">
        <v>182.9</v>
      </c>
      <c r="H201" s="2">
        <v>1463.2</v>
      </c>
      <c r="I201" s="2">
        <v>146.32</v>
      </c>
      <c r="J201" s="2">
        <v>1609.52</v>
      </c>
      <c r="K201">
        <f t="shared" si="9"/>
        <v>1463.2</v>
      </c>
      <c r="M201" t="str">
        <f t="shared" si="10"/>
        <v>LOW</v>
      </c>
      <c r="N201" t="str">
        <f t="shared" si="11"/>
        <v>MEDIUM</v>
      </c>
    </row>
    <row r="202" spans="1:14" ht="29" x14ac:dyDescent="0.35">
      <c r="A202" s="2">
        <v>61</v>
      </c>
      <c r="B202" s="3">
        <v>45327</v>
      </c>
      <c r="C202" s="2" t="s">
        <v>70</v>
      </c>
      <c r="D202" s="2" t="s">
        <v>527</v>
      </c>
      <c r="E202" s="2" t="s">
        <v>536</v>
      </c>
      <c r="F202" s="2">
        <v>3</v>
      </c>
      <c r="G202" s="2">
        <v>486.87</v>
      </c>
      <c r="H202" s="2">
        <v>1460.61</v>
      </c>
      <c r="I202" s="2">
        <v>146.06</v>
      </c>
      <c r="J202" s="2">
        <v>1606.67</v>
      </c>
      <c r="K202">
        <f t="shared" si="9"/>
        <v>1460.6100000000001</v>
      </c>
      <c r="M202" t="str">
        <f t="shared" si="10"/>
        <v>LOW</v>
      </c>
      <c r="N202" t="str">
        <f t="shared" si="11"/>
        <v>MEDIUM</v>
      </c>
    </row>
    <row r="203" spans="1:14" ht="29" x14ac:dyDescent="0.35">
      <c r="A203" s="2">
        <v>23</v>
      </c>
      <c r="B203" s="3">
        <v>45646</v>
      </c>
      <c r="C203" s="2" t="s">
        <v>32</v>
      </c>
      <c r="D203" s="2" t="s">
        <v>522</v>
      </c>
      <c r="E203" s="2" t="s">
        <v>536</v>
      </c>
      <c r="F203" s="2">
        <v>5</v>
      </c>
      <c r="G203" s="2">
        <v>291.79000000000002</v>
      </c>
      <c r="H203" s="2">
        <v>1458.95</v>
      </c>
      <c r="I203" s="2">
        <v>145.9</v>
      </c>
      <c r="J203" s="2">
        <v>1604.85</v>
      </c>
      <c r="K203">
        <f t="shared" si="9"/>
        <v>1458.95</v>
      </c>
      <c r="M203" t="str">
        <f t="shared" si="10"/>
        <v>LOW</v>
      </c>
      <c r="N203" t="str">
        <f t="shared" si="11"/>
        <v>MEDIUM</v>
      </c>
    </row>
    <row r="204" spans="1:14" ht="29" x14ac:dyDescent="0.35">
      <c r="A204" s="2">
        <v>379</v>
      </c>
      <c r="B204" s="3">
        <v>45482</v>
      </c>
      <c r="C204" s="2" t="s">
        <v>386</v>
      </c>
      <c r="D204" s="2" t="s">
        <v>528</v>
      </c>
      <c r="E204" s="2" t="s">
        <v>536</v>
      </c>
      <c r="F204" s="2">
        <v>3</v>
      </c>
      <c r="G204" s="2">
        <v>485.81</v>
      </c>
      <c r="H204" s="2">
        <v>1457.43</v>
      </c>
      <c r="I204" s="2">
        <v>145.74</v>
      </c>
      <c r="J204" s="2">
        <v>1603.17</v>
      </c>
      <c r="K204">
        <f t="shared" si="9"/>
        <v>1457.43</v>
      </c>
      <c r="M204" t="str">
        <f t="shared" si="10"/>
        <v>LOW</v>
      </c>
      <c r="N204" t="str">
        <f t="shared" si="11"/>
        <v>MEDIUM</v>
      </c>
    </row>
    <row r="205" spans="1:14" x14ac:dyDescent="0.35">
      <c r="A205" s="2">
        <v>381</v>
      </c>
      <c r="B205" s="3">
        <v>45473</v>
      </c>
      <c r="C205" s="2" t="s">
        <v>388</v>
      </c>
      <c r="D205" s="2" t="s">
        <v>525</v>
      </c>
      <c r="E205" s="2" t="s">
        <v>535</v>
      </c>
      <c r="F205" s="2">
        <v>10</v>
      </c>
      <c r="G205" s="2">
        <v>142.6</v>
      </c>
      <c r="H205" s="2">
        <v>1426</v>
      </c>
      <c r="I205" s="2">
        <v>142.6</v>
      </c>
      <c r="J205" s="2">
        <v>1568.6</v>
      </c>
      <c r="K205">
        <f t="shared" si="9"/>
        <v>1426</v>
      </c>
      <c r="M205" t="str">
        <f t="shared" si="10"/>
        <v>LOW</v>
      </c>
      <c r="N205" t="str">
        <f t="shared" si="11"/>
        <v>MEDIUM</v>
      </c>
    </row>
    <row r="206" spans="1:14" x14ac:dyDescent="0.35">
      <c r="A206" s="2">
        <v>469</v>
      </c>
      <c r="B206" s="3">
        <v>45439</v>
      </c>
      <c r="C206" s="2" t="s">
        <v>476</v>
      </c>
      <c r="D206" s="2" t="s">
        <v>513</v>
      </c>
      <c r="E206" s="2" t="s">
        <v>535</v>
      </c>
      <c r="F206" s="2">
        <v>5</v>
      </c>
      <c r="G206" s="2">
        <v>284.98</v>
      </c>
      <c r="H206" s="2">
        <v>1424.9</v>
      </c>
      <c r="I206" s="2">
        <v>142.49</v>
      </c>
      <c r="J206" s="2">
        <v>1567.39</v>
      </c>
      <c r="K206">
        <f t="shared" si="9"/>
        <v>1424.9</v>
      </c>
      <c r="M206" t="str">
        <f t="shared" si="10"/>
        <v>LOW</v>
      </c>
      <c r="N206" t="str">
        <f t="shared" si="11"/>
        <v>MEDIUM</v>
      </c>
    </row>
    <row r="207" spans="1:14" x14ac:dyDescent="0.35">
      <c r="A207" s="2">
        <v>5</v>
      </c>
      <c r="B207" s="3">
        <v>45534</v>
      </c>
      <c r="C207" s="2" t="s">
        <v>14</v>
      </c>
      <c r="D207" s="2" t="s">
        <v>512</v>
      </c>
      <c r="E207" s="2" t="s">
        <v>534</v>
      </c>
      <c r="F207" s="2">
        <v>10</v>
      </c>
      <c r="G207" s="2">
        <v>142.02000000000001</v>
      </c>
      <c r="H207" s="2">
        <v>1420.2</v>
      </c>
      <c r="I207" s="2">
        <v>142.02000000000001</v>
      </c>
      <c r="J207" s="2">
        <v>1562.22</v>
      </c>
      <c r="K207">
        <f t="shared" si="9"/>
        <v>1420.2</v>
      </c>
      <c r="M207" t="str">
        <f t="shared" si="10"/>
        <v>LOW</v>
      </c>
      <c r="N207" t="str">
        <f t="shared" si="11"/>
        <v>MEDIUM</v>
      </c>
    </row>
    <row r="208" spans="1:14" x14ac:dyDescent="0.35">
      <c r="A208" s="2">
        <v>294</v>
      </c>
      <c r="B208" s="3">
        <v>45569</v>
      </c>
      <c r="C208" s="2" t="s">
        <v>301</v>
      </c>
      <c r="D208" s="2" t="s">
        <v>520</v>
      </c>
      <c r="E208" s="2" t="s">
        <v>536</v>
      </c>
      <c r="F208" s="2">
        <v>10</v>
      </c>
      <c r="G208" s="2">
        <v>141.63</v>
      </c>
      <c r="H208" s="2">
        <v>1416.3</v>
      </c>
      <c r="I208" s="2">
        <v>141.63</v>
      </c>
      <c r="J208" s="2">
        <v>1557.93</v>
      </c>
      <c r="K208">
        <f t="shared" si="9"/>
        <v>1416.3</v>
      </c>
      <c r="M208" t="str">
        <f t="shared" si="10"/>
        <v>LOW</v>
      </c>
      <c r="N208" t="str">
        <f t="shared" si="11"/>
        <v>MEDIUM</v>
      </c>
    </row>
    <row r="209" spans="1:14" x14ac:dyDescent="0.35">
      <c r="A209" s="2">
        <v>441</v>
      </c>
      <c r="B209" s="3">
        <v>45383</v>
      </c>
      <c r="C209" s="2" t="s">
        <v>448</v>
      </c>
      <c r="D209" s="2" t="s">
        <v>511</v>
      </c>
      <c r="E209" s="2" t="s">
        <v>535</v>
      </c>
      <c r="F209" s="2">
        <v>8</v>
      </c>
      <c r="G209" s="2">
        <v>176.71</v>
      </c>
      <c r="H209" s="2">
        <v>1413.68</v>
      </c>
      <c r="I209" s="2">
        <v>141.37</v>
      </c>
      <c r="J209" s="2">
        <v>1555.05</v>
      </c>
      <c r="K209">
        <f t="shared" si="9"/>
        <v>1413.68</v>
      </c>
      <c r="M209" t="str">
        <f t="shared" si="10"/>
        <v>LOW</v>
      </c>
      <c r="N209" t="str">
        <f t="shared" si="11"/>
        <v>MEDIUM</v>
      </c>
    </row>
    <row r="210" spans="1:14" x14ac:dyDescent="0.35">
      <c r="A210" s="2">
        <v>49</v>
      </c>
      <c r="B210" s="3">
        <v>45646</v>
      </c>
      <c r="C210" s="2" t="s">
        <v>58</v>
      </c>
      <c r="D210" s="2" t="s">
        <v>510</v>
      </c>
      <c r="E210" s="2" t="s">
        <v>533</v>
      </c>
      <c r="F210" s="2">
        <v>3</v>
      </c>
      <c r="G210" s="2">
        <v>469.96</v>
      </c>
      <c r="H210" s="2">
        <v>1409.88</v>
      </c>
      <c r="I210" s="2">
        <v>140.99</v>
      </c>
      <c r="J210" s="2">
        <v>1550.87</v>
      </c>
      <c r="K210">
        <f t="shared" si="9"/>
        <v>1409.8799999999999</v>
      </c>
      <c r="M210" t="str">
        <f t="shared" si="10"/>
        <v>LOW</v>
      </c>
      <c r="N210" t="str">
        <f t="shared" si="11"/>
        <v>MEDIUM</v>
      </c>
    </row>
    <row r="211" spans="1:14" x14ac:dyDescent="0.35">
      <c r="A211" s="2">
        <v>152</v>
      </c>
      <c r="B211" s="3">
        <v>45353</v>
      </c>
      <c r="C211" s="2" t="s">
        <v>161</v>
      </c>
      <c r="D211" s="2" t="s">
        <v>520</v>
      </c>
      <c r="E211" s="2" t="s">
        <v>536</v>
      </c>
      <c r="F211" s="2">
        <v>5</v>
      </c>
      <c r="G211" s="2">
        <v>281.61</v>
      </c>
      <c r="H211" s="2">
        <v>1408.05</v>
      </c>
      <c r="I211" s="2">
        <v>140.81</v>
      </c>
      <c r="J211" s="2">
        <v>1548.86</v>
      </c>
      <c r="K211">
        <f t="shared" si="9"/>
        <v>1408.0500000000002</v>
      </c>
      <c r="M211" t="str">
        <f t="shared" si="10"/>
        <v>LOW</v>
      </c>
      <c r="N211" t="str">
        <f t="shared" si="11"/>
        <v>MEDIUM</v>
      </c>
    </row>
    <row r="212" spans="1:14" x14ac:dyDescent="0.35">
      <c r="A212" s="2">
        <v>317</v>
      </c>
      <c r="B212" s="3">
        <v>45587</v>
      </c>
      <c r="C212" s="2" t="s">
        <v>324</v>
      </c>
      <c r="D212" s="2" t="s">
        <v>531</v>
      </c>
      <c r="E212" s="2" t="s">
        <v>533</v>
      </c>
      <c r="F212" s="2">
        <v>5</v>
      </c>
      <c r="G212" s="2">
        <v>279.12</v>
      </c>
      <c r="H212" s="2">
        <v>1395.6</v>
      </c>
      <c r="I212" s="2">
        <v>139.56</v>
      </c>
      <c r="J212" s="2">
        <v>1535.16</v>
      </c>
      <c r="K212">
        <f t="shared" si="9"/>
        <v>1395.6</v>
      </c>
      <c r="M212" t="str">
        <f t="shared" si="10"/>
        <v>LOW</v>
      </c>
      <c r="N212" t="str">
        <f t="shared" si="11"/>
        <v>MEDIUM</v>
      </c>
    </row>
    <row r="213" spans="1:14" x14ac:dyDescent="0.35">
      <c r="A213" s="2">
        <v>47</v>
      </c>
      <c r="B213" s="3">
        <v>45352</v>
      </c>
      <c r="C213" s="2" t="s">
        <v>56</v>
      </c>
      <c r="D213" s="2" t="s">
        <v>520</v>
      </c>
      <c r="E213" s="2" t="s">
        <v>536</v>
      </c>
      <c r="F213" s="2">
        <v>4</v>
      </c>
      <c r="G213" s="2">
        <v>347.57</v>
      </c>
      <c r="H213" s="2">
        <v>1390.28</v>
      </c>
      <c r="I213" s="2">
        <v>139.03</v>
      </c>
      <c r="J213" s="2">
        <v>1529.31</v>
      </c>
      <c r="K213">
        <f t="shared" si="9"/>
        <v>1390.28</v>
      </c>
      <c r="M213" t="str">
        <f t="shared" si="10"/>
        <v>LOW</v>
      </c>
      <c r="N213" t="str">
        <f t="shared" si="11"/>
        <v>MEDIUM</v>
      </c>
    </row>
    <row r="214" spans="1:14" ht="29" x14ac:dyDescent="0.35">
      <c r="A214" s="2">
        <v>360</v>
      </c>
      <c r="B214" s="3">
        <v>45331</v>
      </c>
      <c r="C214" s="2" t="s">
        <v>367</v>
      </c>
      <c r="D214" s="2" t="s">
        <v>524</v>
      </c>
      <c r="E214" s="2" t="s">
        <v>534</v>
      </c>
      <c r="F214" s="2">
        <v>3</v>
      </c>
      <c r="G214" s="2">
        <v>460.34</v>
      </c>
      <c r="H214" s="2">
        <v>1381.02</v>
      </c>
      <c r="I214" s="2">
        <v>138.1</v>
      </c>
      <c r="J214" s="2">
        <v>1519.12</v>
      </c>
      <c r="K214">
        <f t="shared" si="9"/>
        <v>1381.02</v>
      </c>
      <c r="M214" t="str">
        <f t="shared" si="10"/>
        <v>LOW</v>
      </c>
      <c r="N214" t="str">
        <f t="shared" si="11"/>
        <v>MEDIUM</v>
      </c>
    </row>
    <row r="215" spans="1:14" x14ac:dyDescent="0.35">
      <c r="A215" s="2">
        <v>44</v>
      </c>
      <c r="B215" s="3">
        <v>45342</v>
      </c>
      <c r="C215" s="2" t="s">
        <v>53</v>
      </c>
      <c r="D215" s="2" t="s">
        <v>518</v>
      </c>
      <c r="E215" s="2" t="s">
        <v>533</v>
      </c>
      <c r="F215" s="2">
        <v>4</v>
      </c>
      <c r="G215" s="2">
        <v>342.96</v>
      </c>
      <c r="H215" s="2">
        <v>1371.84</v>
      </c>
      <c r="I215" s="2">
        <v>137.18</v>
      </c>
      <c r="J215" s="2">
        <v>1509.02</v>
      </c>
      <c r="K215">
        <f t="shared" si="9"/>
        <v>1371.84</v>
      </c>
      <c r="M215" t="str">
        <f t="shared" si="10"/>
        <v>LOW</v>
      </c>
      <c r="N215" t="str">
        <f t="shared" si="11"/>
        <v>MEDIUM</v>
      </c>
    </row>
    <row r="216" spans="1:14" x14ac:dyDescent="0.35">
      <c r="A216" s="2">
        <v>169</v>
      </c>
      <c r="B216" s="3">
        <v>45439</v>
      </c>
      <c r="C216" s="2" t="s">
        <v>178</v>
      </c>
      <c r="D216" s="2" t="s">
        <v>519</v>
      </c>
      <c r="E216" s="2" t="s">
        <v>537</v>
      </c>
      <c r="F216" s="2">
        <v>3</v>
      </c>
      <c r="G216" s="2">
        <v>453.86</v>
      </c>
      <c r="H216" s="2">
        <v>1361.58</v>
      </c>
      <c r="I216" s="2">
        <v>136.16</v>
      </c>
      <c r="J216" s="2">
        <v>1497.74</v>
      </c>
      <c r="K216">
        <f t="shared" si="9"/>
        <v>1361.58</v>
      </c>
      <c r="M216" t="str">
        <f t="shared" si="10"/>
        <v>LOW</v>
      </c>
      <c r="N216" t="str">
        <f t="shared" si="11"/>
        <v>MEDIUM</v>
      </c>
    </row>
    <row r="217" spans="1:14" ht="29" x14ac:dyDescent="0.35">
      <c r="A217" s="2">
        <v>413</v>
      </c>
      <c r="B217" s="3">
        <v>45479</v>
      </c>
      <c r="C217" s="2" t="s">
        <v>420</v>
      </c>
      <c r="D217" s="2" t="s">
        <v>522</v>
      </c>
      <c r="E217" s="2" t="s">
        <v>536</v>
      </c>
      <c r="F217" s="2">
        <v>5</v>
      </c>
      <c r="G217" s="2">
        <v>271.94</v>
      </c>
      <c r="H217" s="2">
        <v>1359.7</v>
      </c>
      <c r="I217" s="2">
        <v>135.97</v>
      </c>
      <c r="J217" s="2">
        <v>1495.67</v>
      </c>
      <c r="K217">
        <f t="shared" si="9"/>
        <v>1359.7</v>
      </c>
      <c r="M217" t="str">
        <f t="shared" si="10"/>
        <v>LOW</v>
      </c>
      <c r="N217" t="str">
        <f t="shared" si="11"/>
        <v>MEDIUM</v>
      </c>
    </row>
    <row r="218" spans="1:14" ht="29" x14ac:dyDescent="0.35">
      <c r="A218" s="2">
        <v>37</v>
      </c>
      <c r="B218" s="3">
        <v>45606</v>
      </c>
      <c r="C218" s="2" t="s">
        <v>46</v>
      </c>
      <c r="D218" s="2" t="s">
        <v>527</v>
      </c>
      <c r="E218" s="2" t="s">
        <v>536</v>
      </c>
      <c r="F218" s="2">
        <v>7</v>
      </c>
      <c r="G218" s="2">
        <v>193.93</v>
      </c>
      <c r="H218" s="2">
        <v>1357.51</v>
      </c>
      <c r="I218" s="2">
        <v>135.75</v>
      </c>
      <c r="J218" s="2">
        <v>1493.26</v>
      </c>
      <c r="K218">
        <f t="shared" si="9"/>
        <v>1357.51</v>
      </c>
      <c r="M218" t="str">
        <f t="shared" si="10"/>
        <v>LOW</v>
      </c>
      <c r="N218" t="str">
        <f t="shared" si="11"/>
        <v>MEDIUM</v>
      </c>
    </row>
    <row r="219" spans="1:14" x14ac:dyDescent="0.35">
      <c r="A219" s="2">
        <v>25</v>
      </c>
      <c r="B219" s="3">
        <v>45607</v>
      </c>
      <c r="C219" s="2" t="s">
        <v>34</v>
      </c>
      <c r="D219" s="2" t="s">
        <v>510</v>
      </c>
      <c r="E219" s="2" t="s">
        <v>533</v>
      </c>
      <c r="F219" s="2">
        <v>5</v>
      </c>
      <c r="G219" s="2">
        <v>271.37</v>
      </c>
      <c r="H219" s="2">
        <v>1356.85</v>
      </c>
      <c r="I219" s="2">
        <v>135.69</v>
      </c>
      <c r="J219" s="2">
        <v>1492.54</v>
      </c>
      <c r="K219">
        <f t="shared" si="9"/>
        <v>1356.85</v>
      </c>
      <c r="M219" t="str">
        <f t="shared" si="10"/>
        <v>LOW</v>
      </c>
      <c r="N219" t="str">
        <f t="shared" si="11"/>
        <v>MEDIUM</v>
      </c>
    </row>
    <row r="220" spans="1:14" x14ac:dyDescent="0.35">
      <c r="A220" s="2">
        <v>27</v>
      </c>
      <c r="B220" s="3">
        <v>45404</v>
      </c>
      <c r="C220" s="2" t="s">
        <v>36</v>
      </c>
      <c r="D220" s="2" t="s">
        <v>519</v>
      </c>
      <c r="E220" s="2" t="s">
        <v>537</v>
      </c>
      <c r="F220" s="2">
        <v>3</v>
      </c>
      <c r="G220" s="2">
        <v>448.18</v>
      </c>
      <c r="H220" s="2">
        <v>1344.54</v>
      </c>
      <c r="I220" s="2">
        <v>134.44999999999999</v>
      </c>
      <c r="J220" s="2">
        <v>1478.99</v>
      </c>
      <c r="K220">
        <f t="shared" si="9"/>
        <v>1344.54</v>
      </c>
      <c r="M220" t="str">
        <f t="shared" si="10"/>
        <v>LOW</v>
      </c>
      <c r="N220" t="str">
        <f t="shared" si="11"/>
        <v>MEDIUM</v>
      </c>
    </row>
    <row r="221" spans="1:14" ht="29" x14ac:dyDescent="0.35">
      <c r="A221" s="2">
        <v>298</v>
      </c>
      <c r="B221" s="3">
        <v>45497</v>
      </c>
      <c r="C221" s="2" t="s">
        <v>305</v>
      </c>
      <c r="D221" s="2" t="s">
        <v>530</v>
      </c>
      <c r="E221" s="2" t="s">
        <v>537</v>
      </c>
      <c r="F221" s="2">
        <v>7</v>
      </c>
      <c r="G221" s="2">
        <v>189.04</v>
      </c>
      <c r="H221" s="2">
        <v>1323.28</v>
      </c>
      <c r="I221" s="2">
        <v>132.33000000000001</v>
      </c>
      <c r="J221" s="2">
        <v>1455.61</v>
      </c>
      <c r="K221">
        <f t="shared" si="9"/>
        <v>1323.28</v>
      </c>
      <c r="M221" t="str">
        <f t="shared" si="10"/>
        <v>LOW</v>
      </c>
      <c r="N221" t="str">
        <f t="shared" si="11"/>
        <v>MEDIUM</v>
      </c>
    </row>
    <row r="222" spans="1:14" ht="29" x14ac:dyDescent="0.35">
      <c r="A222" s="2">
        <v>446</v>
      </c>
      <c r="B222" s="3">
        <v>45395</v>
      </c>
      <c r="C222" s="2" t="s">
        <v>453</v>
      </c>
      <c r="D222" s="2" t="s">
        <v>515</v>
      </c>
      <c r="E222" s="2" t="s">
        <v>536</v>
      </c>
      <c r="F222" s="2">
        <v>3</v>
      </c>
      <c r="G222" s="2">
        <v>437.7</v>
      </c>
      <c r="H222" s="2">
        <v>1313.1</v>
      </c>
      <c r="I222" s="2">
        <v>131.31</v>
      </c>
      <c r="J222" s="2">
        <v>1444.41</v>
      </c>
      <c r="K222">
        <f t="shared" si="9"/>
        <v>1313.1</v>
      </c>
      <c r="M222" t="str">
        <f t="shared" si="10"/>
        <v>LOW</v>
      </c>
      <c r="N222" t="str">
        <f t="shared" si="11"/>
        <v>MEDIUM</v>
      </c>
    </row>
    <row r="223" spans="1:14" x14ac:dyDescent="0.35">
      <c r="A223" s="2">
        <v>56</v>
      </c>
      <c r="B223" s="3">
        <v>45606</v>
      </c>
      <c r="C223" s="2" t="s">
        <v>65</v>
      </c>
      <c r="D223" s="2" t="s">
        <v>513</v>
      </c>
      <c r="E223" s="2" t="s">
        <v>535</v>
      </c>
      <c r="F223" s="2">
        <v>4</v>
      </c>
      <c r="G223" s="2">
        <v>327.93</v>
      </c>
      <c r="H223" s="2">
        <v>1311.72</v>
      </c>
      <c r="I223" s="2">
        <v>131.16999999999999</v>
      </c>
      <c r="J223" s="2">
        <v>1442.89</v>
      </c>
      <c r="K223">
        <f t="shared" si="9"/>
        <v>1311.72</v>
      </c>
      <c r="M223" t="str">
        <f t="shared" si="10"/>
        <v>LOW</v>
      </c>
      <c r="N223" t="str">
        <f t="shared" si="11"/>
        <v>MEDIUM</v>
      </c>
    </row>
    <row r="224" spans="1:14" x14ac:dyDescent="0.35">
      <c r="A224" s="2">
        <v>476</v>
      </c>
      <c r="B224" s="3">
        <v>45682</v>
      </c>
      <c r="C224" s="2" t="s">
        <v>483</v>
      </c>
      <c r="D224" s="2" t="s">
        <v>511</v>
      </c>
      <c r="E224" s="2" t="s">
        <v>535</v>
      </c>
      <c r="F224" s="2">
        <v>5</v>
      </c>
      <c r="G224" s="2">
        <v>261.07</v>
      </c>
      <c r="H224" s="2">
        <v>1305.3499999999999</v>
      </c>
      <c r="I224" s="2">
        <v>130.53</v>
      </c>
      <c r="J224" s="2">
        <v>1435.88</v>
      </c>
      <c r="K224">
        <f t="shared" si="9"/>
        <v>1305.3499999999999</v>
      </c>
      <c r="M224" t="str">
        <f t="shared" si="10"/>
        <v>LOW</v>
      </c>
      <c r="N224" t="str">
        <f t="shared" si="11"/>
        <v>MEDIUM</v>
      </c>
    </row>
    <row r="225" spans="1:14" ht="29" x14ac:dyDescent="0.35">
      <c r="A225" s="2">
        <v>411</v>
      </c>
      <c r="B225" s="3">
        <v>45500</v>
      </c>
      <c r="C225" s="2" t="s">
        <v>418</v>
      </c>
      <c r="D225" s="2" t="s">
        <v>527</v>
      </c>
      <c r="E225" s="2" t="s">
        <v>536</v>
      </c>
      <c r="F225" s="2">
        <v>9</v>
      </c>
      <c r="G225" s="2">
        <v>144.44</v>
      </c>
      <c r="H225" s="2">
        <v>1299.96</v>
      </c>
      <c r="I225" s="2">
        <v>130</v>
      </c>
      <c r="J225" s="2">
        <v>1429.96</v>
      </c>
      <c r="K225">
        <f t="shared" si="9"/>
        <v>1299.96</v>
      </c>
      <c r="M225" t="str">
        <f t="shared" si="10"/>
        <v>LOW</v>
      </c>
      <c r="N225" t="str">
        <f t="shared" si="11"/>
        <v>MEDIUM</v>
      </c>
    </row>
    <row r="226" spans="1:14" x14ac:dyDescent="0.35">
      <c r="A226" s="2">
        <v>150</v>
      </c>
      <c r="B226" s="3">
        <v>45574</v>
      </c>
      <c r="C226" s="2" t="s">
        <v>159</v>
      </c>
      <c r="D226" s="2" t="s">
        <v>509</v>
      </c>
      <c r="E226" s="2" t="s">
        <v>534</v>
      </c>
      <c r="F226" s="2">
        <v>8</v>
      </c>
      <c r="G226" s="2">
        <v>162.47</v>
      </c>
      <c r="H226" s="2">
        <v>1299.76</v>
      </c>
      <c r="I226" s="2">
        <v>129.97999999999999</v>
      </c>
      <c r="J226" s="2">
        <v>1429.74</v>
      </c>
      <c r="K226">
        <f t="shared" si="9"/>
        <v>1299.76</v>
      </c>
      <c r="M226" t="str">
        <f t="shared" si="10"/>
        <v>LOW</v>
      </c>
      <c r="N226" t="str">
        <f t="shared" si="11"/>
        <v>MEDIUM</v>
      </c>
    </row>
    <row r="227" spans="1:14" ht="29" x14ac:dyDescent="0.35">
      <c r="A227" s="2">
        <v>327</v>
      </c>
      <c r="B227" s="3">
        <v>45518</v>
      </c>
      <c r="C227" s="2" t="s">
        <v>334</v>
      </c>
      <c r="D227" s="2" t="s">
        <v>528</v>
      </c>
      <c r="E227" s="2" t="s">
        <v>536</v>
      </c>
      <c r="F227" s="2">
        <v>6</v>
      </c>
      <c r="G227" s="2">
        <v>215.26</v>
      </c>
      <c r="H227" s="2">
        <v>1291.56</v>
      </c>
      <c r="I227" s="2">
        <v>129.16</v>
      </c>
      <c r="J227" s="2">
        <v>1420.72</v>
      </c>
      <c r="K227">
        <f t="shared" si="9"/>
        <v>1291.56</v>
      </c>
      <c r="M227" t="str">
        <f t="shared" si="10"/>
        <v>LOW</v>
      </c>
      <c r="N227" t="str">
        <f t="shared" si="11"/>
        <v>MEDIUM</v>
      </c>
    </row>
    <row r="228" spans="1:14" x14ac:dyDescent="0.35">
      <c r="A228" s="2">
        <v>166</v>
      </c>
      <c r="B228" s="3">
        <v>45484</v>
      </c>
      <c r="C228" s="2" t="s">
        <v>175</v>
      </c>
      <c r="D228" s="2" t="s">
        <v>526</v>
      </c>
      <c r="E228" s="2" t="s">
        <v>537</v>
      </c>
      <c r="F228" s="2">
        <v>8</v>
      </c>
      <c r="G228" s="2">
        <v>160.79</v>
      </c>
      <c r="H228" s="2">
        <v>1286.32</v>
      </c>
      <c r="I228" s="2">
        <v>128.63</v>
      </c>
      <c r="J228" s="2">
        <v>1414.95</v>
      </c>
      <c r="K228">
        <f t="shared" si="9"/>
        <v>1286.32</v>
      </c>
      <c r="M228" t="str">
        <f t="shared" si="10"/>
        <v>LOW</v>
      </c>
      <c r="N228" t="str">
        <f t="shared" si="11"/>
        <v>MEDIUM</v>
      </c>
    </row>
    <row r="229" spans="1:14" ht="29" x14ac:dyDescent="0.35">
      <c r="A229" s="2">
        <v>140</v>
      </c>
      <c r="B229" s="3">
        <v>45361</v>
      </c>
      <c r="C229" s="2" t="s">
        <v>149</v>
      </c>
      <c r="D229" s="2" t="s">
        <v>530</v>
      </c>
      <c r="E229" s="2" t="s">
        <v>537</v>
      </c>
      <c r="F229" s="2">
        <v>7</v>
      </c>
      <c r="G229" s="2">
        <v>183.26</v>
      </c>
      <c r="H229" s="2">
        <v>1282.82</v>
      </c>
      <c r="I229" s="2">
        <v>128.28</v>
      </c>
      <c r="J229" s="2">
        <v>1411.1</v>
      </c>
      <c r="K229">
        <f t="shared" si="9"/>
        <v>1282.82</v>
      </c>
      <c r="M229" t="str">
        <f t="shared" si="10"/>
        <v>LOW</v>
      </c>
      <c r="N229" t="str">
        <f t="shared" si="11"/>
        <v>MEDIUM</v>
      </c>
    </row>
    <row r="230" spans="1:14" x14ac:dyDescent="0.35">
      <c r="A230" s="2">
        <v>452</v>
      </c>
      <c r="B230" s="3">
        <v>45524</v>
      </c>
      <c r="C230" s="2" t="s">
        <v>459</v>
      </c>
      <c r="D230" s="2" t="s">
        <v>510</v>
      </c>
      <c r="E230" s="2" t="s">
        <v>533</v>
      </c>
      <c r="F230" s="2">
        <v>3</v>
      </c>
      <c r="G230" s="2">
        <v>425.97</v>
      </c>
      <c r="H230" s="2">
        <v>1277.9100000000001</v>
      </c>
      <c r="I230" s="2">
        <v>127.79</v>
      </c>
      <c r="J230" s="2">
        <v>1405.7</v>
      </c>
      <c r="K230">
        <f t="shared" si="9"/>
        <v>1277.9100000000001</v>
      </c>
      <c r="M230" t="str">
        <f t="shared" si="10"/>
        <v>LOW</v>
      </c>
      <c r="N230" t="str">
        <f t="shared" si="11"/>
        <v>MEDIUM</v>
      </c>
    </row>
    <row r="231" spans="1:14" ht="29" x14ac:dyDescent="0.35">
      <c r="A231" s="2">
        <v>196</v>
      </c>
      <c r="B231" s="3">
        <v>45572</v>
      </c>
      <c r="C231" s="2" t="s">
        <v>205</v>
      </c>
      <c r="D231" s="2" t="s">
        <v>528</v>
      </c>
      <c r="E231" s="2" t="s">
        <v>536</v>
      </c>
      <c r="F231" s="2">
        <v>10</v>
      </c>
      <c r="G231" s="2">
        <v>127.72</v>
      </c>
      <c r="H231" s="2">
        <v>1277.2</v>
      </c>
      <c r="I231" s="2">
        <v>127.72</v>
      </c>
      <c r="J231" s="2">
        <v>1404.92</v>
      </c>
      <c r="K231">
        <f t="shared" si="9"/>
        <v>1277.2</v>
      </c>
      <c r="M231" t="str">
        <f t="shared" si="10"/>
        <v>LOW</v>
      </c>
      <c r="N231" t="str">
        <f t="shared" si="11"/>
        <v>MEDIUM</v>
      </c>
    </row>
    <row r="232" spans="1:14" x14ac:dyDescent="0.35">
      <c r="A232" s="2">
        <v>99</v>
      </c>
      <c r="B232" s="3">
        <v>45610</v>
      </c>
      <c r="C232" s="2" t="s">
        <v>108</v>
      </c>
      <c r="D232" s="2" t="s">
        <v>525</v>
      </c>
      <c r="E232" s="2" t="s">
        <v>535</v>
      </c>
      <c r="F232" s="2">
        <v>3</v>
      </c>
      <c r="G232" s="2">
        <v>425.34</v>
      </c>
      <c r="H232" s="2">
        <v>1276.02</v>
      </c>
      <c r="I232" s="2">
        <v>127.6</v>
      </c>
      <c r="J232" s="2">
        <v>1403.62</v>
      </c>
      <c r="K232">
        <f t="shared" si="9"/>
        <v>1276.02</v>
      </c>
      <c r="M232" t="str">
        <f t="shared" si="10"/>
        <v>LOW</v>
      </c>
      <c r="N232" t="str">
        <f t="shared" si="11"/>
        <v>MEDIUM</v>
      </c>
    </row>
    <row r="233" spans="1:14" ht="29" x14ac:dyDescent="0.35">
      <c r="A233" s="2">
        <v>198</v>
      </c>
      <c r="B233" s="3">
        <v>45411</v>
      </c>
      <c r="C233" s="2" t="s">
        <v>207</v>
      </c>
      <c r="D233" s="2" t="s">
        <v>521</v>
      </c>
      <c r="E233" s="2" t="s">
        <v>533</v>
      </c>
      <c r="F233" s="2">
        <v>3</v>
      </c>
      <c r="G233" s="2">
        <v>423.67</v>
      </c>
      <c r="H233" s="2">
        <v>1271.01</v>
      </c>
      <c r="I233" s="2">
        <v>127.1</v>
      </c>
      <c r="J233" s="2">
        <v>1398.11</v>
      </c>
      <c r="K233">
        <f t="shared" si="9"/>
        <v>1271.01</v>
      </c>
      <c r="M233" t="str">
        <f t="shared" si="10"/>
        <v>LOW</v>
      </c>
      <c r="N233" t="str">
        <f t="shared" si="11"/>
        <v>MEDIUM</v>
      </c>
    </row>
    <row r="234" spans="1:14" x14ac:dyDescent="0.35">
      <c r="A234" s="2">
        <v>273</v>
      </c>
      <c r="B234" s="3">
        <v>45577</v>
      </c>
      <c r="C234" s="2" t="s">
        <v>280</v>
      </c>
      <c r="D234" s="2" t="s">
        <v>508</v>
      </c>
      <c r="E234" s="2" t="s">
        <v>533</v>
      </c>
      <c r="F234" s="2">
        <v>5</v>
      </c>
      <c r="G234" s="2">
        <v>253.34</v>
      </c>
      <c r="H234" s="2">
        <v>1266.7</v>
      </c>
      <c r="I234" s="2">
        <v>126.67</v>
      </c>
      <c r="J234" s="2">
        <v>1393.37</v>
      </c>
      <c r="K234">
        <f t="shared" si="9"/>
        <v>1266.7</v>
      </c>
      <c r="M234" t="str">
        <f t="shared" si="10"/>
        <v>LOW</v>
      </c>
      <c r="N234" t="str">
        <f t="shared" si="11"/>
        <v>MEDIUM</v>
      </c>
    </row>
    <row r="235" spans="1:14" x14ac:dyDescent="0.35">
      <c r="A235" s="2">
        <v>136</v>
      </c>
      <c r="B235" s="3">
        <v>45535</v>
      </c>
      <c r="C235" s="2" t="s">
        <v>145</v>
      </c>
      <c r="D235" s="2" t="s">
        <v>522</v>
      </c>
      <c r="E235" s="2" t="s">
        <v>536</v>
      </c>
      <c r="F235" s="2">
        <v>4</v>
      </c>
      <c r="G235" s="2">
        <v>314.5</v>
      </c>
      <c r="H235" s="2">
        <v>1258</v>
      </c>
      <c r="I235" s="2">
        <v>125.8</v>
      </c>
      <c r="J235" s="2">
        <v>1383.8</v>
      </c>
      <c r="K235">
        <f t="shared" si="9"/>
        <v>1258</v>
      </c>
      <c r="M235" t="str">
        <f t="shared" si="10"/>
        <v>LOW</v>
      </c>
      <c r="N235" t="str">
        <f t="shared" si="11"/>
        <v>MEDIUM</v>
      </c>
    </row>
    <row r="236" spans="1:14" ht="29" x14ac:dyDescent="0.35">
      <c r="A236" s="2">
        <v>158</v>
      </c>
      <c r="B236" s="3">
        <v>45639</v>
      </c>
      <c r="C236" s="2" t="s">
        <v>167</v>
      </c>
      <c r="D236" s="2" t="s">
        <v>513</v>
      </c>
      <c r="E236" s="2" t="s">
        <v>535</v>
      </c>
      <c r="F236" s="2">
        <v>5</v>
      </c>
      <c r="G236" s="2">
        <v>250.04</v>
      </c>
      <c r="H236" s="2">
        <v>1250.2</v>
      </c>
      <c r="I236" s="2">
        <v>125.02</v>
      </c>
      <c r="J236" s="2">
        <v>1375.22</v>
      </c>
      <c r="K236">
        <f t="shared" si="9"/>
        <v>1250.2</v>
      </c>
      <c r="M236" t="str">
        <f t="shared" si="10"/>
        <v>LOW</v>
      </c>
      <c r="N236" t="str">
        <f t="shared" si="11"/>
        <v>MEDIUM</v>
      </c>
    </row>
    <row r="237" spans="1:14" x14ac:dyDescent="0.35">
      <c r="A237" s="2">
        <v>229</v>
      </c>
      <c r="B237" s="3">
        <v>45414</v>
      </c>
      <c r="C237" s="2" t="s">
        <v>238</v>
      </c>
      <c r="D237" s="2" t="s">
        <v>521</v>
      </c>
      <c r="E237" s="2" t="s">
        <v>533</v>
      </c>
      <c r="F237" s="2">
        <v>4</v>
      </c>
      <c r="G237" s="2">
        <v>309.01</v>
      </c>
      <c r="H237" s="2">
        <v>1236.04</v>
      </c>
      <c r="I237" s="2">
        <v>123.6</v>
      </c>
      <c r="J237" s="2">
        <v>1359.64</v>
      </c>
      <c r="K237">
        <f t="shared" si="9"/>
        <v>1236.04</v>
      </c>
      <c r="M237" t="str">
        <f t="shared" si="10"/>
        <v>LOW</v>
      </c>
      <c r="N237" t="str">
        <f t="shared" si="11"/>
        <v>MEDIUM</v>
      </c>
    </row>
    <row r="238" spans="1:14" x14ac:dyDescent="0.35">
      <c r="A238" s="2">
        <v>225</v>
      </c>
      <c r="B238" s="3">
        <v>45437</v>
      </c>
      <c r="C238" s="2" t="s">
        <v>234</v>
      </c>
      <c r="D238" s="2" t="s">
        <v>519</v>
      </c>
      <c r="E238" s="2" t="s">
        <v>537</v>
      </c>
      <c r="F238" s="2">
        <v>7</v>
      </c>
      <c r="G238" s="2">
        <v>169.77</v>
      </c>
      <c r="H238" s="2">
        <v>1188.3900000000001</v>
      </c>
      <c r="I238" s="2">
        <v>118.84</v>
      </c>
      <c r="J238" s="2">
        <v>1307.23</v>
      </c>
      <c r="K238">
        <f t="shared" si="9"/>
        <v>1188.3900000000001</v>
      </c>
      <c r="M238" t="str">
        <f t="shared" si="10"/>
        <v>LOW</v>
      </c>
      <c r="N238" t="str">
        <f t="shared" si="11"/>
        <v>MEDIUM</v>
      </c>
    </row>
    <row r="239" spans="1:14" x14ac:dyDescent="0.35">
      <c r="A239" s="2">
        <v>281</v>
      </c>
      <c r="B239" s="3">
        <v>45550</v>
      </c>
      <c r="C239" s="2" t="s">
        <v>288</v>
      </c>
      <c r="D239" s="2" t="s">
        <v>510</v>
      </c>
      <c r="E239" s="2" t="s">
        <v>533</v>
      </c>
      <c r="F239" s="2">
        <v>5</v>
      </c>
      <c r="G239" s="2">
        <v>237.67</v>
      </c>
      <c r="H239" s="2">
        <v>1188.3499999999999</v>
      </c>
      <c r="I239" s="2">
        <v>118.83</v>
      </c>
      <c r="J239" s="2">
        <v>1307.18</v>
      </c>
      <c r="K239">
        <f t="shared" si="9"/>
        <v>1188.3499999999999</v>
      </c>
      <c r="M239" t="str">
        <f t="shared" si="10"/>
        <v>LOW</v>
      </c>
      <c r="N239" t="str">
        <f t="shared" si="11"/>
        <v>MEDIUM</v>
      </c>
    </row>
    <row r="240" spans="1:14" x14ac:dyDescent="0.35">
      <c r="A240" s="2">
        <v>89</v>
      </c>
      <c r="B240" s="3">
        <v>45373</v>
      </c>
      <c r="C240" s="2" t="s">
        <v>98</v>
      </c>
      <c r="D240" s="2" t="s">
        <v>509</v>
      </c>
      <c r="E240" s="2" t="s">
        <v>534</v>
      </c>
      <c r="F240" s="2">
        <v>10</v>
      </c>
      <c r="G240" s="2">
        <v>118.58</v>
      </c>
      <c r="H240" s="2">
        <v>1185.8</v>
      </c>
      <c r="I240" s="2">
        <v>118.58</v>
      </c>
      <c r="J240" s="2">
        <v>1304.3800000000001</v>
      </c>
      <c r="K240">
        <f t="shared" si="9"/>
        <v>1185.8</v>
      </c>
      <c r="M240" t="str">
        <f t="shared" si="10"/>
        <v>LOW</v>
      </c>
      <c r="N240" t="str">
        <f t="shared" si="11"/>
        <v>MEDIUM</v>
      </c>
    </row>
    <row r="241" spans="1:14" x14ac:dyDescent="0.35">
      <c r="A241" s="2">
        <v>36</v>
      </c>
      <c r="B241" s="3">
        <v>45488</v>
      </c>
      <c r="C241" s="2" t="s">
        <v>45</v>
      </c>
      <c r="D241" s="2" t="s">
        <v>526</v>
      </c>
      <c r="E241" s="2" t="s">
        <v>537</v>
      </c>
      <c r="F241" s="2">
        <v>3</v>
      </c>
      <c r="G241" s="2">
        <v>389.89</v>
      </c>
      <c r="H241" s="2">
        <v>1169.67</v>
      </c>
      <c r="I241" s="2">
        <v>116.97</v>
      </c>
      <c r="J241" s="2">
        <v>1286.6400000000001</v>
      </c>
      <c r="K241">
        <f t="shared" si="9"/>
        <v>1169.67</v>
      </c>
      <c r="M241" t="str">
        <f t="shared" si="10"/>
        <v>LOW</v>
      </c>
      <c r="N241" t="str">
        <f t="shared" si="11"/>
        <v>MEDIUM</v>
      </c>
    </row>
    <row r="242" spans="1:14" x14ac:dyDescent="0.35">
      <c r="A242" s="2">
        <v>119</v>
      </c>
      <c r="B242" s="3">
        <v>45651</v>
      </c>
      <c r="C242" s="2" t="s">
        <v>128</v>
      </c>
      <c r="D242" s="2" t="s">
        <v>512</v>
      </c>
      <c r="E242" s="2" t="s">
        <v>534</v>
      </c>
      <c r="F242" s="2">
        <v>5</v>
      </c>
      <c r="G242" s="2">
        <v>233.47</v>
      </c>
      <c r="H242" s="2">
        <v>1167.3499999999999</v>
      </c>
      <c r="I242" s="2">
        <v>116.73</v>
      </c>
      <c r="J242" s="2">
        <v>1284.08</v>
      </c>
      <c r="K242">
        <f t="shared" si="9"/>
        <v>1167.3499999999999</v>
      </c>
      <c r="M242" t="str">
        <f t="shared" si="10"/>
        <v>LOW</v>
      </c>
      <c r="N242" t="str">
        <f t="shared" si="11"/>
        <v>MEDIUM</v>
      </c>
    </row>
    <row r="243" spans="1:14" ht="29" x14ac:dyDescent="0.35">
      <c r="A243" s="2">
        <v>421</v>
      </c>
      <c r="B243" s="3">
        <v>45441</v>
      </c>
      <c r="C243" s="2" t="s">
        <v>428</v>
      </c>
      <c r="D243" s="2" t="s">
        <v>514</v>
      </c>
      <c r="E243" s="2" t="s">
        <v>534</v>
      </c>
      <c r="F243" s="2">
        <v>4</v>
      </c>
      <c r="G243" s="2">
        <v>287.52</v>
      </c>
      <c r="H243" s="2">
        <v>1150.08</v>
      </c>
      <c r="I243" s="2">
        <v>115.01</v>
      </c>
      <c r="J243" s="2">
        <v>1265.0899999999999</v>
      </c>
      <c r="K243">
        <f t="shared" si="9"/>
        <v>1150.08</v>
      </c>
      <c r="M243" t="str">
        <f t="shared" si="10"/>
        <v>LOW</v>
      </c>
      <c r="N243" t="str">
        <f t="shared" si="11"/>
        <v>MEDIUM</v>
      </c>
    </row>
    <row r="244" spans="1:14" ht="29" x14ac:dyDescent="0.35">
      <c r="A244" s="2">
        <v>437</v>
      </c>
      <c r="B244" s="3">
        <v>45402</v>
      </c>
      <c r="C244" s="2" t="s">
        <v>444</v>
      </c>
      <c r="D244" s="2" t="s">
        <v>528</v>
      </c>
      <c r="E244" s="2" t="s">
        <v>536</v>
      </c>
      <c r="F244" s="2">
        <v>7</v>
      </c>
      <c r="G244" s="2">
        <v>164.13</v>
      </c>
      <c r="H244" s="2">
        <v>1148.9100000000001</v>
      </c>
      <c r="I244" s="2">
        <v>114.89</v>
      </c>
      <c r="J244" s="2">
        <v>1263.8</v>
      </c>
      <c r="K244">
        <f t="shared" si="9"/>
        <v>1148.9099999999999</v>
      </c>
      <c r="M244" t="str">
        <f t="shared" si="10"/>
        <v>LOW</v>
      </c>
      <c r="N244" t="str">
        <f t="shared" si="11"/>
        <v>MEDIUM</v>
      </c>
    </row>
    <row r="245" spans="1:14" x14ac:dyDescent="0.35">
      <c r="A245" s="2">
        <v>210</v>
      </c>
      <c r="B245" s="3">
        <v>45672</v>
      </c>
      <c r="C245" s="2" t="s">
        <v>219</v>
      </c>
      <c r="D245" s="2" t="s">
        <v>508</v>
      </c>
      <c r="E245" s="2" t="s">
        <v>533</v>
      </c>
      <c r="F245" s="2">
        <v>10</v>
      </c>
      <c r="G245" s="2">
        <v>114.84</v>
      </c>
      <c r="H245" s="2">
        <v>1148.4000000000001</v>
      </c>
      <c r="I245" s="2">
        <v>114.84</v>
      </c>
      <c r="J245" s="2">
        <v>1263.24</v>
      </c>
      <c r="K245">
        <f t="shared" si="9"/>
        <v>1148.4000000000001</v>
      </c>
      <c r="M245" t="str">
        <f t="shared" si="10"/>
        <v>LOW</v>
      </c>
      <c r="N245" t="str">
        <f t="shared" si="11"/>
        <v>MEDIUM</v>
      </c>
    </row>
    <row r="246" spans="1:14" x14ac:dyDescent="0.35">
      <c r="A246" s="2">
        <v>154</v>
      </c>
      <c r="B246" s="3">
        <v>45422</v>
      </c>
      <c r="C246" s="2" t="s">
        <v>163</v>
      </c>
      <c r="D246" s="2" t="s">
        <v>520</v>
      </c>
      <c r="E246" s="2" t="s">
        <v>536</v>
      </c>
      <c r="F246" s="2">
        <v>5</v>
      </c>
      <c r="G246" s="2">
        <v>229.22</v>
      </c>
      <c r="H246" s="2">
        <v>1146.0999999999999</v>
      </c>
      <c r="I246" s="2">
        <v>114.61</v>
      </c>
      <c r="J246" s="2">
        <v>1260.71</v>
      </c>
      <c r="K246">
        <f t="shared" si="9"/>
        <v>1146.0999999999999</v>
      </c>
      <c r="M246" t="str">
        <f t="shared" si="10"/>
        <v>LOW</v>
      </c>
      <c r="N246" t="str">
        <f t="shared" si="11"/>
        <v>MEDIUM</v>
      </c>
    </row>
    <row r="247" spans="1:14" ht="29" x14ac:dyDescent="0.35">
      <c r="A247" s="2">
        <v>453</v>
      </c>
      <c r="B247" s="3">
        <v>45360</v>
      </c>
      <c r="C247" s="2" t="s">
        <v>460</v>
      </c>
      <c r="D247" s="2" t="s">
        <v>514</v>
      </c>
      <c r="E247" s="2" t="s">
        <v>534</v>
      </c>
      <c r="F247" s="2">
        <v>3</v>
      </c>
      <c r="G247" s="2">
        <v>381.48</v>
      </c>
      <c r="H247" s="2">
        <v>1144.44</v>
      </c>
      <c r="I247" s="2">
        <v>114.44</v>
      </c>
      <c r="J247" s="2">
        <v>1258.8800000000001</v>
      </c>
      <c r="K247">
        <f t="shared" si="9"/>
        <v>1144.44</v>
      </c>
      <c r="M247" t="str">
        <f t="shared" si="10"/>
        <v>LOW</v>
      </c>
      <c r="N247" t="str">
        <f t="shared" si="11"/>
        <v>MEDIUM</v>
      </c>
    </row>
    <row r="248" spans="1:14" x14ac:dyDescent="0.35">
      <c r="A248" s="2">
        <v>498</v>
      </c>
      <c r="B248" s="3">
        <v>45535</v>
      </c>
      <c r="C248" s="2" t="s">
        <v>505</v>
      </c>
      <c r="D248" s="2" t="s">
        <v>523</v>
      </c>
      <c r="E248" s="2" t="s">
        <v>534</v>
      </c>
      <c r="F248" s="2">
        <v>5</v>
      </c>
      <c r="G248" s="2">
        <v>227.36</v>
      </c>
      <c r="H248" s="2">
        <v>1136.8</v>
      </c>
      <c r="I248" s="2">
        <v>113.68</v>
      </c>
      <c r="J248" s="2">
        <v>1250.48</v>
      </c>
      <c r="K248">
        <f t="shared" si="9"/>
        <v>1136.8000000000002</v>
      </c>
      <c r="M248" t="str">
        <f t="shared" si="10"/>
        <v>LOW</v>
      </c>
      <c r="N248" t="str">
        <f t="shared" si="11"/>
        <v>MEDIUM</v>
      </c>
    </row>
    <row r="249" spans="1:14" x14ac:dyDescent="0.35">
      <c r="A249" s="2">
        <v>24</v>
      </c>
      <c r="B249" s="3">
        <v>45364</v>
      </c>
      <c r="C249" s="2" t="s">
        <v>33</v>
      </c>
      <c r="D249" s="2" t="s">
        <v>510</v>
      </c>
      <c r="E249" s="2" t="s">
        <v>533</v>
      </c>
      <c r="F249" s="2">
        <v>9</v>
      </c>
      <c r="G249" s="2">
        <v>125.03</v>
      </c>
      <c r="H249" s="2">
        <v>1125.27</v>
      </c>
      <c r="I249" s="2">
        <v>112.53</v>
      </c>
      <c r="J249" s="2">
        <v>1237.8</v>
      </c>
      <c r="K249">
        <f t="shared" si="9"/>
        <v>1125.27</v>
      </c>
      <c r="M249" t="str">
        <f t="shared" si="10"/>
        <v>LOW</v>
      </c>
      <c r="N249" t="str">
        <f t="shared" si="11"/>
        <v>MEDIUM</v>
      </c>
    </row>
    <row r="250" spans="1:14" x14ac:dyDescent="0.35">
      <c r="A250" s="2">
        <v>91</v>
      </c>
      <c r="B250" s="3">
        <v>45428</v>
      </c>
      <c r="C250" s="2" t="s">
        <v>100</v>
      </c>
      <c r="D250" s="2" t="s">
        <v>511</v>
      </c>
      <c r="E250" s="2" t="s">
        <v>535</v>
      </c>
      <c r="F250" s="2">
        <v>4</v>
      </c>
      <c r="G250" s="2">
        <v>280.52</v>
      </c>
      <c r="H250" s="2">
        <v>1122.08</v>
      </c>
      <c r="I250" s="2">
        <v>112.21</v>
      </c>
      <c r="J250" s="2">
        <v>1234.29</v>
      </c>
      <c r="K250">
        <f t="shared" si="9"/>
        <v>1122.08</v>
      </c>
      <c r="M250" t="str">
        <f t="shared" si="10"/>
        <v>LOW</v>
      </c>
      <c r="N250" t="str">
        <f t="shared" si="11"/>
        <v>MEDIUM</v>
      </c>
    </row>
    <row r="251" spans="1:14" x14ac:dyDescent="0.35">
      <c r="A251" s="2">
        <v>176</v>
      </c>
      <c r="B251" s="3">
        <v>45378</v>
      </c>
      <c r="C251" s="2" t="s">
        <v>185</v>
      </c>
      <c r="D251" s="2" t="s">
        <v>523</v>
      </c>
      <c r="E251" s="2" t="s">
        <v>534</v>
      </c>
      <c r="F251" s="2">
        <v>4</v>
      </c>
      <c r="G251" s="2">
        <v>279.19</v>
      </c>
      <c r="H251" s="2">
        <v>1116.76</v>
      </c>
      <c r="I251" s="2">
        <v>111.68</v>
      </c>
      <c r="J251" s="2">
        <v>1228.44</v>
      </c>
      <c r="K251">
        <f t="shared" si="9"/>
        <v>1116.76</v>
      </c>
      <c r="M251" t="str">
        <f t="shared" si="10"/>
        <v>LOW</v>
      </c>
      <c r="N251" t="str">
        <f t="shared" si="11"/>
        <v>MEDIUM</v>
      </c>
    </row>
    <row r="252" spans="1:14" x14ac:dyDescent="0.35">
      <c r="A252" s="2">
        <v>288</v>
      </c>
      <c r="B252" s="3">
        <v>45553</v>
      </c>
      <c r="C252" s="2" t="s">
        <v>295</v>
      </c>
      <c r="D252" s="2" t="s">
        <v>511</v>
      </c>
      <c r="E252" s="2" t="s">
        <v>535</v>
      </c>
      <c r="F252" s="2">
        <v>4</v>
      </c>
      <c r="G252" s="2">
        <v>277.18</v>
      </c>
      <c r="H252" s="2">
        <v>1108.72</v>
      </c>
      <c r="I252" s="2">
        <v>110.87</v>
      </c>
      <c r="J252" s="2">
        <v>1219.5899999999999</v>
      </c>
      <c r="K252">
        <f t="shared" si="9"/>
        <v>1108.72</v>
      </c>
      <c r="M252" t="str">
        <f t="shared" si="10"/>
        <v>LOW</v>
      </c>
      <c r="N252" t="str">
        <f t="shared" si="11"/>
        <v>MEDIUM</v>
      </c>
    </row>
    <row r="253" spans="1:14" ht="29" x14ac:dyDescent="0.35">
      <c r="A253" s="2">
        <v>320</v>
      </c>
      <c r="B253" s="3">
        <v>45329</v>
      </c>
      <c r="C253" s="2" t="s">
        <v>327</v>
      </c>
      <c r="D253" s="2" t="s">
        <v>515</v>
      </c>
      <c r="E253" s="2" t="s">
        <v>536</v>
      </c>
      <c r="F253" s="2">
        <v>3</v>
      </c>
      <c r="G253" s="2">
        <v>369.51</v>
      </c>
      <c r="H253" s="2">
        <v>1108.53</v>
      </c>
      <c r="I253" s="2">
        <v>110.85</v>
      </c>
      <c r="J253" s="2">
        <v>1219.3800000000001</v>
      </c>
      <c r="K253">
        <f t="shared" si="9"/>
        <v>1108.53</v>
      </c>
      <c r="M253" t="str">
        <f t="shared" si="10"/>
        <v>LOW</v>
      </c>
      <c r="N253" t="str">
        <f t="shared" si="11"/>
        <v>MEDIUM</v>
      </c>
    </row>
    <row r="254" spans="1:14" x14ac:dyDescent="0.35">
      <c r="A254" s="2">
        <v>464</v>
      </c>
      <c r="B254" s="3">
        <v>45518</v>
      </c>
      <c r="C254" s="2" t="s">
        <v>471</v>
      </c>
      <c r="D254" s="2" t="s">
        <v>520</v>
      </c>
      <c r="E254" s="2" t="s">
        <v>536</v>
      </c>
      <c r="F254" s="2">
        <v>8</v>
      </c>
      <c r="G254" s="2">
        <v>137.37</v>
      </c>
      <c r="H254" s="2">
        <v>1098.96</v>
      </c>
      <c r="I254" s="2">
        <v>109.9</v>
      </c>
      <c r="J254" s="2">
        <v>1208.8599999999999</v>
      </c>
      <c r="K254">
        <f t="shared" si="9"/>
        <v>1098.96</v>
      </c>
      <c r="M254" t="str">
        <f t="shared" si="10"/>
        <v>LOW</v>
      </c>
      <c r="N254" t="str">
        <f t="shared" si="11"/>
        <v>MEDIUM</v>
      </c>
    </row>
    <row r="255" spans="1:14" x14ac:dyDescent="0.35">
      <c r="A255" s="2">
        <v>257</v>
      </c>
      <c r="B255" s="3">
        <v>45655</v>
      </c>
      <c r="C255" s="2" t="s">
        <v>266</v>
      </c>
      <c r="D255" s="2" t="s">
        <v>508</v>
      </c>
      <c r="E255" s="2" t="s">
        <v>533</v>
      </c>
      <c r="F255" s="2">
        <v>3</v>
      </c>
      <c r="G255" s="2">
        <v>363.04</v>
      </c>
      <c r="H255" s="2">
        <v>1089.1199999999999</v>
      </c>
      <c r="I255" s="2">
        <v>108.91</v>
      </c>
      <c r="J255" s="2">
        <v>1198.03</v>
      </c>
      <c r="K255">
        <f t="shared" si="9"/>
        <v>1089.1200000000001</v>
      </c>
      <c r="M255" t="str">
        <f t="shared" si="10"/>
        <v>LOW</v>
      </c>
      <c r="N255" t="str">
        <f t="shared" si="11"/>
        <v>MEDIUM</v>
      </c>
    </row>
    <row r="256" spans="1:14" ht="29" x14ac:dyDescent="0.35">
      <c r="A256" s="2">
        <v>402</v>
      </c>
      <c r="B256" s="3">
        <v>45682</v>
      </c>
      <c r="C256" s="2" t="s">
        <v>409</v>
      </c>
      <c r="D256" s="2" t="s">
        <v>522</v>
      </c>
      <c r="E256" s="2" t="s">
        <v>536</v>
      </c>
      <c r="F256" s="2">
        <v>3</v>
      </c>
      <c r="G256" s="2">
        <v>362.15</v>
      </c>
      <c r="H256" s="2">
        <v>1086.45</v>
      </c>
      <c r="I256" s="2">
        <v>108.65</v>
      </c>
      <c r="J256" s="2">
        <v>1195.0999999999999</v>
      </c>
      <c r="K256">
        <f t="shared" si="9"/>
        <v>1086.4499999999998</v>
      </c>
      <c r="M256" t="str">
        <f t="shared" si="10"/>
        <v>LOW</v>
      </c>
      <c r="N256" t="str">
        <f t="shared" si="11"/>
        <v>MEDIUM</v>
      </c>
    </row>
    <row r="257" spans="1:14" x14ac:dyDescent="0.35">
      <c r="A257" s="2">
        <v>179</v>
      </c>
      <c r="B257" s="3">
        <v>45512</v>
      </c>
      <c r="C257" s="2" t="s">
        <v>188</v>
      </c>
      <c r="D257" s="2" t="s">
        <v>516</v>
      </c>
      <c r="E257" s="2" t="s">
        <v>535</v>
      </c>
      <c r="F257" s="2">
        <v>7</v>
      </c>
      <c r="G257" s="2">
        <v>154.36000000000001</v>
      </c>
      <c r="H257" s="2">
        <v>1080.52</v>
      </c>
      <c r="I257" s="2">
        <v>108.05</v>
      </c>
      <c r="J257" s="2">
        <v>1188.57</v>
      </c>
      <c r="K257">
        <f t="shared" si="9"/>
        <v>1080.52</v>
      </c>
      <c r="M257" t="str">
        <f t="shared" si="10"/>
        <v>LOW</v>
      </c>
      <c r="N257" t="str">
        <f t="shared" si="11"/>
        <v>MEDIUM</v>
      </c>
    </row>
    <row r="258" spans="1:14" x14ac:dyDescent="0.35">
      <c r="A258" s="2">
        <v>220</v>
      </c>
      <c r="B258" s="3">
        <v>45589</v>
      </c>
      <c r="C258" s="2" t="s">
        <v>229</v>
      </c>
      <c r="D258" s="2" t="s">
        <v>532</v>
      </c>
      <c r="E258" s="2" t="s">
        <v>537</v>
      </c>
      <c r="F258" s="2">
        <v>3</v>
      </c>
      <c r="G258" s="2">
        <v>357.24</v>
      </c>
      <c r="H258" s="2">
        <v>1071.72</v>
      </c>
      <c r="I258" s="2">
        <v>107.17</v>
      </c>
      <c r="J258" s="2">
        <v>1178.8900000000001</v>
      </c>
      <c r="K258">
        <f t="shared" si="9"/>
        <v>1071.72</v>
      </c>
      <c r="M258" t="str">
        <f t="shared" si="10"/>
        <v>LOW</v>
      </c>
      <c r="N258" t="str">
        <f t="shared" si="11"/>
        <v>MEDIUM</v>
      </c>
    </row>
    <row r="259" spans="1:14" x14ac:dyDescent="0.35">
      <c r="A259" s="2">
        <v>28</v>
      </c>
      <c r="B259" s="3">
        <v>45473</v>
      </c>
      <c r="C259" s="2" t="s">
        <v>37</v>
      </c>
      <c r="D259" s="2" t="s">
        <v>518</v>
      </c>
      <c r="E259" s="2" t="s">
        <v>533</v>
      </c>
      <c r="F259" s="2">
        <v>5</v>
      </c>
      <c r="G259" s="2">
        <v>214.12</v>
      </c>
      <c r="H259" s="2">
        <v>1070.5999999999999</v>
      </c>
      <c r="I259" s="2">
        <v>107.06</v>
      </c>
      <c r="J259" s="2">
        <v>1177.6600000000001</v>
      </c>
      <c r="K259">
        <f t="shared" ref="K259:K322" si="12">F259*G259</f>
        <v>1070.5999999999999</v>
      </c>
      <c r="M259" t="str">
        <f t="shared" ref="M259:M322" si="13">IF(H259&gt;2500,"HIGH","LOW")</f>
        <v>LOW</v>
      </c>
      <c r="N259" t="str">
        <f t="shared" ref="N259:N322" si="14">IF(H259&gt;2500,"HIGH",IF(H259&lt;1000,"LOW","MEDIUM"))</f>
        <v>MEDIUM</v>
      </c>
    </row>
    <row r="260" spans="1:14" x14ac:dyDescent="0.35">
      <c r="A260" s="2">
        <v>440</v>
      </c>
      <c r="B260" s="3">
        <v>45348</v>
      </c>
      <c r="C260" s="2" t="s">
        <v>447</v>
      </c>
      <c r="D260" s="2" t="s">
        <v>525</v>
      </c>
      <c r="E260" s="2" t="s">
        <v>535</v>
      </c>
      <c r="F260" s="2">
        <v>5</v>
      </c>
      <c r="G260" s="2">
        <v>213.26</v>
      </c>
      <c r="H260" s="2">
        <v>1066.3</v>
      </c>
      <c r="I260" s="2">
        <v>106.63</v>
      </c>
      <c r="J260" s="2">
        <v>1172.93</v>
      </c>
      <c r="K260">
        <f t="shared" si="12"/>
        <v>1066.3</v>
      </c>
      <c r="M260" t="str">
        <f t="shared" si="13"/>
        <v>LOW</v>
      </c>
      <c r="N260" t="str">
        <f t="shared" si="14"/>
        <v>MEDIUM</v>
      </c>
    </row>
    <row r="261" spans="1:14" ht="29" x14ac:dyDescent="0.35">
      <c r="A261" s="2">
        <v>357</v>
      </c>
      <c r="B261" s="3">
        <v>45570</v>
      </c>
      <c r="C261" s="2" t="s">
        <v>364</v>
      </c>
      <c r="D261" s="2" t="s">
        <v>528</v>
      </c>
      <c r="E261" s="2" t="s">
        <v>536</v>
      </c>
      <c r="F261" s="2">
        <v>3</v>
      </c>
      <c r="G261" s="2">
        <v>353.2</v>
      </c>
      <c r="H261" s="2">
        <v>1059.5999999999999</v>
      </c>
      <c r="I261" s="2">
        <v>105.96</v>
      </c>
      <c r="J261" s="2">
        <v>1165.56</v>
      </c>
      <c r="K261">
        <f t="shared" si="12"/>
        <v>1059.5999999999999</v>
      </c>
      <c r="M261" t="str">
        <f t="shared" si="13"/>
        <v>LOW</v>
      </c>
      <c r="N261" t="str">
        <f t="shared" si="14"/>
        <v>MEDIUM</v>
      </c>
    </row>
    <row r="262" spans="1:14" x14ac:dyDescent="0.35">
      <c r="A262" s="2">
        <v>81</v>
      </c>
      <c r="B262" s="3">
        <v>45495</v>
      </c>
      <c r="C262" s="2" t="s">
        <v>90</v>
      </c>
      <c r="D262" s="2" t="s">
        <v>529</v>
      </c>
      <c r="E262" s="2" t="s">
        <v>535</v>
      </c>
      <c r="F262" s="2">
        <v>10</v>
      </c>
      <c r="G262" s="2">
        <v>105.54</v>
      </c>
      <c r="H262" s="2">
        <v>1055.4000000000001</v>
      </c>
      <c r="I262" s="2">
        <v>105.54</v>
      </c>
      <c r="J262" s="2">
        <v>1160.94</v>
      </c>
      <c r="K262">
        <f t="shared" si="12"/>
        <v>1055.4000000000001</v>
      </c>
      <c r="M262" t="str">
        <f t="shared" si="13"/>
        <v>LOW</v>
      </c>
      <c r="N262" t="str">
        <f t="shared" si="14"/>
        <v>MEDIUM</v>
      </c>
    </row>
    <row r="263" spans="1:14" ht="29" x14ac:dyDescent="0.35">
      <c r="A263" s="2">
        <v>240</v>
      </c>
      <c r="B263" s="3">
        <v>45474</v>
      </c>
      <c r="C263" s="2" t="s">
        <v>249</v>
      </c>
      <c r="D263" s="2" t="s">
        <v>527</v>
      </c>
      <c r="E263" s="2" t="s">
        <v>536</v>
      </c>
      <c r="F263" s="2">
        <v>10</v>
      </c>
      <c r="G263" s="2">
        <v>105.25</v>
      </c>
      <c r="H263" s="2">
        <v>1052.5</v>
      </c>
      <c r="I263" s="2">
        <v>105.25</v>
      </c>
      <c r="J263" s="2">
        <v>1157.75</v>
      </c>
      <c r="K263">
        <f t="shared" si="12"/>
        <v>1052.5</v>
      </c>
      <c r="M263" t="str">
        <f t="shared" si="13"/>
        <v>LOW</v>
      </c>
      <c r="N263" t="str">
        <f t="shared" si="14"/>
        <v>MEDIUM</v>
      </c>
    </row>
    <row r="264" spans="1:14" ht="29" x14ac:dyDescent="0.35">
      <c r="A264" s="2">
        <v>423</v>
      </c>
      <c r="B264" s="3">
        <v>45599</v>
      </c>
      <c r="C264" s="2" t="s">
        <v>430</v>
      </c>
      <c r="D264" s="2" t="s">
        <v>528</v>
      </c>
      <c r="E264" s="2" t="s">
        <v>536</v>
      </c>
      <c r="F264" s="2">
        <v>5</v>
      </c>
      <c r="G264" s="2">
        <v>209.9</v>
      </c>
      <c r="H264" s="2">
        <v>1049.5</v>
      </c>
      <c r="I264" s="2">
        <v>104.95</v>
      </c>
      <c r="J264" s="2">
        <v>1154.45</v>
      </c>
      <c r="K264">
        <f t="shared" si="12"/>
        <v>1049.5</v>
      </c>
      <c r="M264" t="str">
        <f t="shared" si="13"/>
        <v>LOW</v>
      </c>
      <c r="N264" t="str">
        <f t="shared" si="14"/>
        <v>MEDIUM</v>
      </c>
    </row>
    <row r="265" spans="1:14" x14ac:dyDescent="0.35">
      <c r="A265" s="2">
        <v>39</v>
      </c>
      <c r="B265" s="3">
        <v>45529</v>
      </c>
      <c r="C265" s="2" t="s">
        <v>48</v>
      </c>
      <c r="D265" s="2" t="s">
        <v>522</v>
      </c>
      <c r="E265" s="2" t="s">
        <v>536</v>
      </c>
      <c r="F265" s="2">
        <v>5</v>
      </c>
      <c r="G265" s="2">
        <v>206.83</v>
      </c>
      <c r="H265" s="2">
        <v>1034.1500000000001</v>
      </c>
      <c r="I265" s="2">
        <v>103.42</v>
      </c>
      <c r="J265" s="2">
        <v>1137.57</v>
      </c>
      <c r="K265">
        <f t="shared" si="12"/>
        <v>1034.1500000000001</v>
      </c>
      <c r="M265" t="str">
        <f t="shared" si="13"/>
        <v>LOW</v>
      </c>
      <c r="N265" t="str">
        <f t="shared" si="14"/>
        <v>MEDIUM</v>
      </c>
    </row>
    <row r="266" spans="1:14" ht="29" x14ac:dyDescent="0.35">
      <c r="A266" s="2">
        <v>342</v>
      </c>
      <c r="B266" s="3">
        <v>45414</v>
      </c>
      <c r="C266" s="2" t="s">
        <v>349</v>
      </c>
      <c r="D266" s="2" t="s">
        <v>530</v>
      </c>
      <c r="E266" s="2" t="s">
        <v>537</v>
      </c>
      <c r="F266" s="2">
        <v>7</v>
      </c>
      <c r="G266" s="2">
        <v>147.37</v>
      </c>
      <c r="H266" s="2">
        <v>1031.5899999999999</v>
      </c>
      <c r="I266" s="2">
        <v>103.16</v>
      </c>
      <c r="J266" s="2">
        <v>1134.75</v>
      </c>
      <c r="K266">
        <f t="shared" si="12"/>
        <v>1031.5900000000001</v>
      </c>
      <c r="M266" t="str">
        <f t="shared" si="13"/>
        <v>LOW</v>
      </c>
      <c r="N266" t="str">
        <f t="shared" si="14"/>
        <v>MEDIUM</v>
      </c>
    </row>
    <row r="267" spans="1:14" ht="29" x14ac:dyDescent="0.35">
      <c r="A267" s="2">
        <v>38</v>
      </c>
      <c r="B267" s="3">
        <v>45586</v>
      </c>
      <c r="C267" s="2" t="s">
        <v>47</v>
      </c>
      <c r="D267" s="2" t="s">
        <v>527</v>
      </c>
      <c r="E267" s="2" t="s">
        <v>536</v>
      </c>
      <c r="F267" s="2">
        <v>3</v>
      </c>
      <c r="G267" s="2">
        <v>342.52</v>
      </c>
      <c r="H267" s="2">
        <v>1027.56</v>
      </c>
      <c r="I267" s="2">
        <v>102.76</v>
      </c>
      <c r="J267" s="2">
        <v>1130.32</v>
      </c>
      <c r="K267">
        <f t="shared" si="12"/>
        <v>1027.56</v>
      </c>
      <c r="M267" t="str">
        <f t="shared" si="13"/>
        <v>LOW</v>
      </c>
      <c r="N267" t="str">
        <f t="shared" si="14"/>
        <v>MEDIUM</v>
      </c>
    </row>
    <row r="268" spans="1:14" x14ac:dyDescent="0.35">
      <c r="A268" s="2">
        <v>374</v>
      </c>
      <c r="B268" s="3">
        <v>45396</v>
      </c>
      <c r="C268" s="2" t="s">
        <v>381</v>
      </c>
      <c r="D268" s="2" t="s">
        <v>513</v>
      </c>
      <c r="E268" s="2" t="s">
        <v>535</v>
      </c>
      <c r="F268" s="2">
        <v>4</v>
      </c>
      <c r="G268" s="2">
        <v>255.78</v>
      </c>
      <c r="H268" s="2">
        <v>1023.12</v>
      </c>
      <c r="I268" s="2">
        <v>102.31</v>
      </c>
      <c r="J268" s="2">
        <v>1125.43</v>
      </c>
      <c r="K268">
        <f t="shared" si="12"/>
        <v>1023.12</v>
      </c>
      <c r="M268" t="str">
        <f t="shared" si="13"/>
        <v>LOW</v>
      </c>
      <c r="N268" t="str">
        <f t="shared" si="14"/>
        <v>MEDIUM</v>
      </c>
    </row>
    <row r="269" spans="1:14" ht="29" x14ac:dyDescent="0.35">
      <c r="A269" s="2">
        <v>213</v>
      </c>
      <c r="B269" s="3">
        <v>45494</v>
      </c>
      <c r="C269" s="2" t="s">
        <v>222</v>
      </c>
      <c r="D269" s="2" t="s">
        <v>524</v>
      </c>
      <c r="E269" s="2" t="s">
        <v>534</v>
      </c>
      <c r="F269" s="2">
        <v>6</v>
      </c>
      <c r="G269" s="2">
        <v>167.78</v>
      </c>
      <c r="H269" s="2">
        <v>1006.68</v>
      </c>
      <c r="I269" s="2">
        <v>100.67</v>
      </c>
      <c r="J269" s="2">
        <v>1107.3499999999999</v>
      </c>
      <c r="K269">
        <f t="shared" si="12"/>
        <v>1006.6800000000001</v>
      </c>
      <c r="M269" t="str">
        <f t="shared" si="13"/>
        <v>LOW</v>
      </c>
      <c r="N269" t="str">
        <f t="shared" si="14"/>
        <v>MEDIUM</v>
      </c>
    </row>
    <row r="270" spans="1:14" ht="29" x14ac:dyDescent="0.35">
      <c r="A270" s="2">
        <v>479</v>
      </c>
      <c r="B270" s="3">
        <v>45479</v>
      </c>
      <c r="C270" s="2" t="s">
        <v>486</v>
      </c>
      <c r="D270" s="2" t="s">
        <v>517</v>
      </c>
      <c r="E270" s="2" t="s">
        <v>537</v>
      </c>
      <c r="F270" s="2">
        <v>6</v>
      </c>
      <c r="G270" s="2">
        <v>167.12</v>
      </c>
      <c r="H270" s="2">
        <v>1002.72</v>
      </c>
      <c r="I270" s="2">
        <v>100.27</v>
      </c>
      <c r="J270" s="2">
        <v>1102.99</v>
      </c>
      <c r="K270">
        <f t="shared" si="12"/>
        <v>1002.72</v>
      </c>
      <c r="M270" t="str">
        <f t="shared" si="13"/>
        <v>LOW</v>
      </c>
      <c r="N270" t="str">
        <f t="shared" si="14"/>
        <v>MEDIUM</v>
      </c>
    </row>
    <row r="271" spans="1:14" x14ac:dyDescent="0.35">
      <c r="A271" s="2">
        <v>16</v>
      </c>
      <c r="B271" s="3">
        <v>45343</v>
      </c>
      <c r="C271" s="2" t="s">
        <v>25</v>
      </c>
      <c r="D271" s="2" t="s">
        <v>508</v>
      </c>
      <c r="E271" s="2" t="s">
        <v>533</v>
      </c>
      <c r="F271" s="2">
        <v>8</v>
      </c>
      <c r="G271" s="2">
        <v>125.26</v>
      </c>
      <c r="H271" s="2">
        <v>1002.08</v>
      </c>
      <c r="I271" s="2">
        <v>100.21</v>
      </c>
      <c r="J271" s="2">
        <v>1102.29</v>
      </c>
      <c r="K271">
        <f t="shared" si="12"/>
        <v>1002.08</v>
      </c>
      <c r="M271" t="str">
        <f t="shared" si="13"/>
        <v>LOW</v>
      </c>
      <c r="N271" t="str">
        <f t="shared" si="14"/>
        <v>MEDIUM</v>
      </c>
    </row>
    <row r="272" spans="1:14" ht="29" x14ac:dyDescent="0.35">
      <c r="A272" s="2">
        <v>369</v>
      </c>
      <c r="B272" s="3">
        <v>45687</v>
      </c>
      <c r="C272" s="2" t="s">
        <v>376</v>
      </c>
      <c r="D272" s="2" t="s">
        <v>530</v>
      </c>
      <c r="E272" s="2" t="s">
        <v>537</v>
      </c>
      <c r="F272" s="2">
        <v>3</v>
      </c>
      <c r="G272" s="2">
        <v>331.86</v>
      </c>
      <c r="H272" s="2">
        <v>995.58</v>
      </c>
      <c r="I272" s="2">
        <v>99.56</v>
      </c>
      <c r="J272" s="2">
        <v>1095.1400000000001</v>
      </c>
      <c r="K272">
        <f t="shared" si="12"/>
        <v>995.58</v>
      </c>
      <c r="M272" t="str">
        <f t="shared" si="13"/>
        <v>LOW</v>
      </c>
      <c r="N272" t="str">
        <f t="shared" si="14"/>
        <v>LOW</v>
      </c>
    </row>
    <row r="273" spans="1:14" x14ac:dyDescent="0.35">
      <c r="A273" s="2">
        <v>325</v>
      </c>
      <c r="B273" s="3">
        <v>45595</v>
      </c>
      <c r="C273" s="2" t="s">
        <v>332</v>
      </c>
      <c r="D273" s="2" t="s">
        <v>518</v>
      </c>
      <c r="E273" s="2" t="s">
        <v>533</v>
      </c>
      <c r="F273" s="2">
        <v>3</v>
      </c>
      <c r="G273" s="2">
        <v>331.27</v>
      </c>
      <c r="H273" s="2">
        <v>993.81</v>
      </c>
      <c r="I273" s="2">
        <v>99.38</v>
      </c>
      <c r="J273" s="2">
        <v>1093.19</v>
      </c>
      <c r="K273">
        <f t="shared" si="12"/>
        <v>993.81</v>
      </c>
      <c r="M273" t="str">
        <f t="shared" si="13"/>
        <v>LOW</v>
      </c>
      <c r="N273" t="str">
        <f t="shared" si="14"/>
        <v>LOW</v>
      </c>
    </row>
    <row r="274" spans="1:14" x14ac:dyDescent="0.35">
      <c r="A274" s="2">
        <v>447</v>
      </c>
      <c r="B274" s="3">
        <v>45369</v>
      </c>
      <c r="C274" s="2" t="s">
        <v>454</v>
      </c>
      <c r="D274" s="2" t="s">
        <v>519</v>
      </c>
      <c r="E274" s="2" t="s">
        <v>537</v>
      </c>
      <c r="F274" s="2">
        <v>3</v>
      </c>
      <c r="G274" s="2">
        <v>330.82</v>
      </c>
      <c r="H274" s="2">
        <v>992.46</v>
      </c>
      <c r="I274" s="2">
        <v>99.25</v>
      </c>
      <c r="J274" s="2">
        <v>1091.71</v>
      </c>
      <c r="K274">
        <f t="shared" si="12"/>
        <v>992.46</v>
      </c>
      <c r="M274" t="str">
        <f t="shared" si="13"/>
        <v>LOW</v>
      </c>
      <c r="N274" t="str">
        <f t="shared" si="14"/>
        <v>LOW</v>
      </c>
    </row>
    <row r="275" spans="1:14" x14ac:dyDescent="0.35">
      <c r="A275" s="2">
        <v>121</v>
      </c>
      <c r="B275" s="3">
        <v>45644</v>
      </c>
      <c r="C275" s="2" t="s">
        <v>130</v>
      </c>
      <c r="D275" s="2" t="s">
        <v>529</v>
      </c>
      <c r="E275" s="2" t="s">
        <v>535</v>
      </c>
      <c r="F275" s="2">
        <v>6</v>
      </c>
      <c r="G275" s="2">
        <v>164.74</v>
      </c>
      <c r="H275" s="2">
        <v>988.44</v>
      </c>
      <c r="I275" s="2">
        <v>98.84</v>
      </c>
      <c r="J275" s="2">
        <v>1087.28</v>
      </c>
      <c r="K275">
        <f t="shared" si="12"/>
        <v>988.44</v>
      </c>
      <c r="M275" t="str">
        <f t="shared" si="13"/>
        <v>LOW</v>
      </c>
      <c r="N275" t="str">
        <f t="shared" si="14"/>
        <v>LOW</v>
      </c>
    </row>
    <row r="276" spans="1:14" x14ac:dyDescent="0.35">
      <c r="A276" s="2">
        <v>18</v>
      </c>
      <c r="B276" s="3">
        <v>45560</v>
      </c>
      <c r="C276" s="2" t="s">
        <v>27</v>
      </c>
      <c r="D276" s="2" t="s">
        <v>509</v>
      </c>
      <c r="E276" s="2" t="s">
        <v>534</v>
      </c>
      <c r="F276" s="2">
        <v>8</v>
      </c>
      <c r="G276" s="2">
        <v>122.44</v>
      </c>
      <c r="H276" s="2">
        <v>979.52</v>
      </c>
      <c r="I276" s="2">
        <v>97.95</v>
      </c>
      <c r="J276" s="2">
        <v>1077.47</v>
      </c>
      <c r="K276">
        <f t="shared" si="12"/>
        <v>979.52</v>
      </c>
      <c r="M276" t="str">
        <f t="shared" si="13"/>
        <v>LOW</v>
      </c>
      <c r="N276" t="str">
        <f t="shared" si="14"/>
        <v>LOW</v>
      </c>
    </row>
    <row r="277" spans="1:14" x14ac:dyDescent="0.35">
      <c r="A277" s="2">
        <v>130</v>
      </c>
      <c r="B277" s="3">
        <v>45653</v>
      </c>
      <c r="C277" s="2" t="s">
        <v>139</v>
      </c>
      <c r="D277" s="2" t="s">
        <v>513</v>
      </c>
      <c r="E277" s="2" t="s">
        <v>535</v>
      </c>
      <c r="F277" s="2">
        <v>2</v>
      </c>
      <c r="G277" s="2">
        <v>483.98</v>
      </c>
      <c r="H277" s="2">
        <v>967.96</v>
      </c>
      <c r="I277" s="2">
        <v>96.8</v>
      </c>
      <c r="J277" s="2">
        <v>1064.76</v>
      </c>
      <c r="K277">
        <f t="shared" si="12"/>
        <v>967.96</v>
      </c>
      <c r="M277" t="str">
        <f t="shared" si="13"/>
        <v>LOW</v>
      </c>
      <c r="N277" t="str">
        <f t="shared" si="14"/>
        <v>LOW</v>
      </c>
    </row>
    <row r="278" spans="1:14" ht="29" x14ac:dyDescent="0.35">
      <c r="A278" s="2">
        <v>255</v>
      </c>
      <c r="B278" s="3">
        <v>45597</v>
      </c>
      <c r="C278" s="2" t="s">
        <v>264</v>
      </c>
      <c r="D278" s="2" t="s">
        <v>530</v>
      </c>
      <c r="E278" s="2" t="s">
        <v>537</v>
      </c>
      <c r="F278" s="2">
        <v>6</v>
      </c>
      <c r="G278" s="2">
        <v>161.19</v>
      </c>
      <c r="H278" s="2">
        <v>967.14</v>
      </c>
      <c r="I278" s="2">
        <v>96.71</v>
      </c>
      <c r="J278" s="2">
        <v>1063.8499999999999</v>
      </c>
      <c r="K278">
        <f t="shared" si="12"/>
        <v>967.14</v>
      </c>
      <c r="M278" t="str">
        <f t="shared" si="13"/>
        <v>LOW</v>
      </c>
      <c r="N278" t="str">
        <f t="shared" si="14"/>
        <v>LOW</v>
      </c>
    </row>
    <row r="279" spans="1:14" x14ac:dyDescent="0.35">
      <c r="A279" s="2">
        <v>433</v>
      </c>
      <c r="B279" s="3">
        <v>45329</v>
      </c>
      <c r="C279" s="2" t="s">
        <v>440</v>
      </c>
      <c r="D279" s="2" t="s">
        <v>525</v>
      </c>
      <c r="E279" s="2" t="s">
        <v>535</v>
      </c>
      <c r="F279" s="2">
        <v>2</v>
      </c>
      <c r="G279" s="2">
        <v>482.95</v>
      </c>
      <c r="H279" s="2">
        <v>965.9</v>
      </c>
      <c r="I279" s="2">
        <v>96.59</v>
      </c>
      <c r="J279" s="2">
        <v>1062.49</v>
      </c>
      <c r="K279">
        <f t="shared" si="12"/>
        <v>965.9</v>
      </c>
      <c r="M279" t="str">
        <f t="shared" si="13"/>
        <v>LOW</v>
      </c>
      <c r="N279" t="str">
        <f t="shared" si="14"/>
        <v>LOW</v>
      </c>
    </row>
    <row r="280" spans="1:14" ht="29" x14ac:dyDescent="0.35">
      <c r="A280" s="2">
        <v>370</v>
      </c>
      <c r="B280" s="3">
        <v>45484</v>
      </c>
      <c r="C280" s="2" t="s">
        <v>377</v>
      </c>
      <c r="D280" s="2" t="s">
        <v>508</v>
      </c>
      <c r="E280" s="2" t="s">
        <v>533</v>
      </c>
      <c r="F280" s="2">
        <v>8</v>
      </c>
      <c r="G280" s="2">
        <v>117.82</v>
      </c>
      <c r="H280" s="2">
        <v>942.56</v>
      </c>
      <c r="I280" s="2">
        <v>94.26</v>
      </c>
      <c r="J280" s="2">
        <v>1036.82</v>
      </c>
      <c r="K280">
        <f t="shared" si="12"/>
        <v>942.56</v>
      </c>
      <c r="M280" t="str">
        <f t="shared" si="13"/>
        <v>LOW</v>
      </c>
      <c r="N280" t="str">
        <f t="shared" si="14"/>
        <v>LOW</v>
      </c>
    </row>
    <row r="281" spans="1:14" x14ac:dyDescent="0.35">
      <c r="A281" s="2">
        <v>209</v>
      </c>
      <c r="B281" s="3">
        <v>45677</v>
      </c>
      <c r="C281" s="2" t="s">
        <v>218</v>
      </c>
      <c r="D281" s="2" t="s">
        <v>531</v>
      </c>
      <c r="E281" s="2" t="s">
        <v>533</v>
      </c>
      <c r="F281" s="2">
        <v>9</v>
      </c>
      <c r="G281" s="2">
        <v>104.48</v>
      </c>
      <c r="H281" s="2">
        <v>940.32</v>
      </c>
      <c r="I281" s="2">
        <v>94.03</v>
      </c>
      <c r="J281" s="2">
        <v>1034.3499999999999</v>
      </c>
      <c r="K281">
        <f t="shared" si="12"/>
        <v>940.32</v>
      </c>
      <c r="M281" t="str">
        <f t="shared" si="13"/>
        <v>LOW</v>
      </c>
      <c r="N281" t="str">
        <f t="shared" si="14"/>
        <v>LOW</v>
      </c>
    </row>
    <row r="282" spans="1:14" ht="29" x14ac:dyDescent="0.35">
      <c r="A282" s="2">
        <v>386</v>
      </c>
      <c r="B282" s="3">
        <v>45586</v>
      </c>
      <c r="C282" s="2" t="s">
        <v>393</v>
      </c>
      <c r="D282" s="2" t="s">
        <v>527</v>
      </c>
      <c r="E282" s="2" t="s">
        <v>536</v>
      </c>
      <c r="F282" s="2">
        <v>4</v>
      </c>
      <c r="G282" s="2">
        <v>234.74</v>
      </c>
      <c r="H282" s="2">
        <v>938.96</v>
      </c>
      <c r="I282" s="2">
        <v>93.9</v>
      </c>
      <c r="J282" s="2">
        <v>1032.8599999999999</v>
      </c>
      <c r="K282">
        <f t="shared" si="12"/>
        <v>938.96</v>
      </c>
      <c r="M282" t="str">
        <f t="shared" si="13"/>
        <v>LOW</v>
      </c>
      <c r="N282" t="str">
        <f t="shared" si="14"/>
        <v>LOW</v>
      </c>
    </row>
    <row r="283" spans="1:14" x14ac:dyDescent="0.35">
      <c r="A283" s="2">
        <v>111</v>
      </c>
      <c r="B283" s="3">
        <v>45541</v>
      </c>
      <c r="C283" s="2" t="s">
        <v>120</v>
      </c>
      <c r="D283" s="2" t="s">
        <v>509</v>
      </c>
      <c r="E283" s="2" t="s">
        <v>534</v>
      </c>
      <c r="F283" s="2">
        <v>9</v>
      </c>
      <c r="G283" s="2">
        <v>104.19</v>
      </c>
      <c r="H283" s="2">
        <v>937.71</v>
      </c>
      <c r="I283" s="2">
        <v>93.77</v>
      </c>
      <c r="J283" s="2">
        <v>1031.48</v>
      </c>
      <c r="K283">
        <f t="shared" si="12"/>
        <v>937.71</v>
      </c>
      <c r="M283" t="str">
        <f t="shared" si="13"/>
        <v>LOW</v>
      </c>
      <c r="N283" t="str">
        <f t="shared" si="14"/>
        <v>LOW</v>
      </c>
    </row>
    <row r="284" spans="1:14" x14ac:dyDescent="0.35">
      <c r="A284" s="2">
        <v>62</v>
      </c>
      <c r="B284" s="3">
        <v>45495</v>
      </c>
      <c r="C284" s="2" t="s">
        <v>71</v>
      </c>
      <c r="D284" s="2" t="s">
        <v>518</v>
      </c>
      <c r="E284" s="2" t="s">
        <v>533</v>
      </c>
      <c r="F284" s="2">
        <v>10</v>
      </c>
      <c r="G284" s="2">
        <v>93.59</v>
      </c>
      <c r="H284" s="2">
        <v>935.9</v>
      </c>
      <c r="I284" s="2">
        <v>93.59</v>
      </c>
      <c r="J284" s="2">
        <v>1029.49</v>
      </c>
      <c r="K284">
        <f t="shared" si="12"/>
        <v>935.90000000000009</v>
      </c>
      <c r="M284" t="str">
        <f t="shared" si="13"/>
        <v>LOW</v>
      </c>
      <c r="N284" t="str">
        <f t="shared" si="14"/>
        <v>LOW</v>
      </c>
    </row>
    <row r="285" spans="1:14" ht="29" x14ac:dyDescent="0.35">
      <c r="A285" s="2">
        <v>387</v>
      </c>
      <c r="B285" s="3">
        <v>45466</v>
      </c>
      <c r="C285" s="2" t="s">
        <v>394</v>
      </c>
      <c r="D285" s="2" t="s">
        <v>515</v>
      </c>
      <c r="E285" s="2" t="s">
        <v>536</v>
      </c>
      <c r="F285" s="2">
        <v>7</v>
      </c>
      <c r="G285" s="2">
        <v>132.05000000000001</v>
      </c>
      <c r="H285" s="2">
        <v>924.35</v>
      </c>
      <c r="I285" s="2">
        <v>92.44</v>
      </c>
      <c r="J285" s="2">
        <v>1016.79</v>
      </c>
      <c r="K285">
        <f t="shared" si="12"/>
        <v>924.35000000000014</v>
      </c>
      <c r="M285" t="str">
        <f t="shared" si="13"/>
        <v>LOW</v>
      </c>
      <c r="N285" t="str">
        <f t="shared" si="14"/>
        <v>LOW</v>
      </c>
    </row>
    <row r="286" spans="1:14" ht="29" x14ac:dyDescent="0.35">
      <c r="A286" s="2">
        <v>228</v>
      </c>
      <c r="B286" s="3">
        <v>45491</v>
      </c>
      <c r="C286" s="2" t="s">
        <v>237</v>
      </c>
      <c r="D286" s="2" t="s">
        <v>524</v>
      </c>
      <c r="E286" s="2" t="s">
        <v>534</v>
      </c>
      <c r="F286" s="2">
        <v>2</v>
      </c>
      <c r="G286" s="2">
        <v>458.69</v>
      </c>
      <c r="H286" s="2">
        <v>917.38</v>
      </c>
      <c r="I286" s="2">
        <v>91.74</v>
      </c>
      <c r="J286" s="2">
        <v>1009.12</v>
      </c>
      <c r="K286">
        <f t="shared" si="12"/>
        <v>917.38</v>
      </c>
      <c r="M286" t="str">
        <f t="shared" si="13"/>
        <v>LOW</v>
      </c>
      <c r="N286" t="str">
        <f t="shared" si="14"/>
        <v>LOW</v>
      </c>
    </row>
    <row r="287" spans="1:14" x14ac:dyDescent="0.35">
      <c r="A287" s="2">
        <v>112</v>
      </c>
      <c r="B287" s="3">
        <v>45668</v>
      </c>
      <c r="C287" s="2" t="s">
        <v>121</v>
      </c>
      <c r="D287" s="2" t="s">
        <v>519</v>
      </c>
      <c r="E287" s="2" t="s">
        <v>537</v>
      </c>
      <c r="F287" s="2">
        <v>4</v>
      </c>
      <c r="G287" s="2">
        <v>226.32</v>
      </c>
      <c r="H287" s="2">
        <v>905.28</v>
      </c>
      <c r="I287" s="2">
        <v>90.53</v>
      </c>
      <c r="J287" s="2">
        <v>995.81</v>
      </c>
      <c r="K287">
        <f t="shared" si="12"/>
        <v>905.28</v>
      </c>
      <c r="M287" t="str">
        <f t="shared" si="13"/>
        <v>LOW</v>
      </c>
      <c r="N287" t="str">
        <f t="shared" si="14"/>
        <v>LOW</v>
      </c>
    </row>
    <row r="288" spans="1:14" x14ac:dyDescent="0.35">
      <c r="A288" s="2">
        <v>238</v>
      </c>
      <c r="B288" s="3">
        <v>45640</v>
      </c>
      <c r="C288" s="2" t="s">
        <v>247</v>
      </c>
      <c r="D288" s="2" t="s">
        <v>508</v>
      </c>
      <c r="E288" s="2" t="s">
        <v>533</v>
      </c>
      <c r="F288" s="2">
        <v>4</v>
      </c>
      <c r="G288" s="2">
        <v>225.97</v>
      </c>
      <c r="H288" s="2">
        <v>903.88</v>
      </c>
      <c r="I288" s="2">
        <v>90.39</v>
      </c>
      <c r="J288" s="2">
        <v>994.27</v>
      </c>
      <c r="K288">
        <f t="shared" si="12"/>
        <v>903.88</v>
      </c>
      <c r="M288" t="str">
        <f t="shared" si="13"/>
        <v>LOW</v>
      </c>
      <c r="N288" t="str">
        <f t="shared" si="14"/>
        <v>LOW</v>
      </c>
    </row>
    <row r="289" spans="1:14" x14ac:dyDescent="0.35">
      <c r="A289" s="2">
        <v>458</v>
      </c>
      <c r="B289" s="3">
        <v>45601</v>
      </c>
      <c r="C289" s="2" t="s">
        <v>465</v>
      </c>
      <c r="D289" s="2" t="s">
        <v>519</v>
      </c>
      <c r="E289" s="2" t="s">
        <v>537</v>
      </c>
      <c r="F289" s="2">
        <v>8</v>
      </c>
      <c r="G289" s="2">
        <v>112.75</v>
      </c>
      <c r="H289" s="2">
        <v>902</v>
      </c>
      <c r="I289" s="2">
        <v>90.2</v>
      </c>
      <c r="J289" s="2">
        <v>992.2</v>
      </c>
      <c r="K289">
        <f t="shared" si="12"/>
        <v>902</v>
      </c>
      <c r="M289" t="str">
        <f t="shared" si="13"/>
        <v>LOW</v>
      </c>
      <c r="N289" t="str">
        <f t="shared" si="14"/>
        <v>LOW</v>
      </c>
    </row>
    <row r="290" spans="1:14" x14ac:dyDescent="0.35">
      <c r="A290" s="2">
        <v>201</v>
      </c>
      <c r="B290" s="3">
        <v>45644</v>
      </c>
      <c r="C290" s="2" t="s">
        <v>210</v>
      </c>
      <c r="D290" s="2" t="s">
        <v>512</v>
      </c>
      <c r="E290" s="2" t="s">
        <v>534</v>
      </c>
      <c r="F290" s="2">
        <v>10</v>
      </c>
      <c r="G290" s="2">
        <v>90.02</v>
      </c>
      <c r="H290" s="2">
        <v>900.2</v>
      </c>
      <c r="I290" s="2">
        <v>90.02</v>
      </c>
      <c r="J290" s="2">
        <v>990.22</v>
      </c>
      <c r="K290">
        <f t="shared" si="12"/>
        <v>900.19999999999993</v>
      </c>
      <c r="M290" t="str">
        <f t="shared" si="13"/>
        <v>LOW</v>
      </c>
      <c r="N290" t="str">
        <f t="shared" si="14"/>
        <v>LOW</v>
      </c>
    </row>
    <row r="291" spans="1:14" x14ac:dyDescent="0.35">
      <c r="A291" s="2">
        <v>457</v>
      </c>
      <c r="B291" s="3">
        <v>45653</v>
      </c>
      <c r="C291" s="2" t="s">
        <v>464</v>
      </c>
      <c r="D291" s="2" t="s">
        <v>513</v>
      </c>
      <c r="E291" s="2" t="s">
        <v>535</v>
      </c>
      <c r="F291" s="2">
        <v>4</v>
      </c>
      <c r="G291" s="2">
        <v>223.66</v>
      </c>
      <c r="H291" s="2">
        <v>894.64</v>
      </c>
      <c r="I291" s="2">
        <v>89.46</v>
      </c>
      <c r="J291" s="2">
        <v>984.1</v>
      </c>
      <c r="K291">
        <f t="shared" si="12"/>
        <v>894.64</v>
      </c>
      <c r="M291" t="str">
        <f t="shared" si="13"/>
        <v>LOW</v>
      </c>
      <c r="N291" t="str">
        <f t="shared" si="14"/>
        <v>LOW</v>
      </c>
    </row>
    <row r="292" spans="1:14" ht="29" x14ac:dyDescent="0.35">
      <c r="A292" s="2">
        <v>205</v>
      </c>
      <c r="B292" s="3">
        <v>45497</v>
      </c>
      <c r="C292" s="2" t="s">
        <v>214</v>
      </c>
      <c r="D292" s="2" t="s">
        <v>512</v>
      </c>
      <c r="E292" s="2" t="s">
        <v>534</v>
      </c>
      <c r="F292" s="2">
        <v>2</v>
      </c>
      <c r="G292" s="2">
        <v>445.77</v>
      </c>
      <c r="H292" s="2">
        <v>891.54</v>
      </c>
      <c r="I292" s="2">
        <v>89.15</v>
      </c>
      <c r="J292" s="2">
        <v>980.69</v>
      </c>
      <c r="K292">
        <f t="shared" si="12"/>
        <v>891.54</v>
      </c>
      <c r="M292" t="str">
        <f t="shared" si="13"/>
        <v>LOW</v>
      </c>
      <c r="N292" t="str">
        <f t="shared" si="14"/>
        <v>LOW</v>
      </c>
    </row>
    <row r="293" spans="1:14" x14ac:dyDescent="0.35">
      <c r="A293" s="2">
        <v>218</v>
      </c>
      <c r="B293" s="3">
        <v>45507</v>
      </c>
      <c r="C293" s="2" t="s">
        <v>227</v>
      </c>
      <c r="D293" s="2" t="s">
        <v>512</v>
      </c>
      <c r="E293" s="2" t="s">
        <v>534</v>
      </c>
      <c r="F293" s="2">
        <v>10</v>
      </c>
      <c r="G293" s="2">
        <v>88.86</v>
      </c>
      <c r="H293" s="2">
        <v>888.6</v>
      </c>
      <c r="I293" s="2">
        <v>88.86</v>
      </c>
      <c r="J293" s="2">
        <v>977.46</v>
      </c>
      <c r="K293">
        <f t="shared" si="12"/>
        <v>888.6</v>
      </c>
      <c r="M293" t="str">
        <f t="shared" si="13"/>
        <v>LOW</v>
      </c>
      <c r="N293" t="str">
        <f t="shared" si="14"/>
        <v>LOW</v>
      </c>
    </row>
    <row r="294" spans="1:14" x14ac:dyDescent="0.35">
      <c r="A294" s="2">
        <v>14</v>
      </c>
      <c r="B294" s="3">
        <v>45453</v>
      </c>
      <c r="C294" s="2" t="s">
        <v>23</v>
      </c>
      <c r="D294" s="2" t="s">
        <v>518</v>
      </c>
      <c r="E294" s="2" t="s">
        <v>533</v>
      </c>
      <c r="F294" s="2">
        <v>2</v>
      </c>
      <c r="G294" s="2">
        <v>442.69</v>
      </c>
      <c r="H294" s="2">
        <v>885.38</v>
      </c>
      <c r="I294" s="2">
        <v>88.54</v>
      </c>
      <c r="J294" s="2">
        <v>973.92</v>
      </c>
      <c r="K294">
        <f t="shared" si="12"/>
        <v>885.38</v>
      </c>
      <c r="M294" t="str">
        <f t="shared" si="13"/>
        <v>LOW</v>
      </c>
      <c r="N294" t="str">
        <f t="shared" si="14"/>
        <v>LOW</v>
      </c>
    </row>
    <row r="295" spans="1:14" x14ac:dyDescent="0.35">
      <c r="A295" s="2">
        <v>310</v>
      </c>
      <c r="B295" s="3">
        <v>45603</v>
      </c>
      <c r="C295" s="2" t="s">
        <v>317</v>
      </c>
      <c r="D295" s="2" t="s">
        <v>519</v>
      </c>
      <c r="E295" s="2" t="s">
        <v>537</v>
      </c>
      <c r="F295" s="2">
        <v>3</v>
      </c>
      <c r="G295" s="2">
        <v>294.47000000000003</v>
      </c>
      <c r="H295" s="2">
        <v>883.41</v>
      </c>
      <c r="I295" s="2">
        <v>88.34</v>
      </c>
      <c r="J295" s="2">
        <v>971.75</v>
      </c>
      <c r="K295">
        <f t="shared" si="12"/>
        <v>883.41000000000008</v>
      </c>
      <c r="M295" t="str">
        <f t="shared" si="13"/>
        <v>LOW</v>
      </c>
      <c r="N295" t="str">
        <f t="shared" si="14"/>
        <v>LOW</v>
      </c>
    </row>
    <row r="296" spans="1:14" x14ac:dyDescent="0.35">
      <c r="A296" s="2">
        <v>202</v>
      </c>
      <c r="B296" s="3">
        <v>45555</v>
      </c>
      <c r="C296" s="2" t="s">
        <v>211</v>
      </c>
      <c r="D296" s="2" t="s">
        <v>526</v>
      </c>
      <c r="E296" s="2" t="s">
        <v>537</v>
      </c>
      <c r="F296" s="2">
        <v>2</v>
      </c>
      <c r="G296" s="2">
        <v>441.17</v>
      </c>
      <c r="H296" s="2">
        <v>882.34</v>
      </c>
      <c r="I296" s="2">
        <v>88.23</v>
      </c>
      <c r="J296" s="2">
        <v>970.57</v>
      </c>
      <c r="K296">
        <f t="shared" si="12"/>
        <v>882.34</v>
      </c>
      <c r="M296" t="str">
        <f t="shared" si="13"/>
        <v>LOW</v>
      </c>
      <c r="N296" t="str">
        <f t="shared" si="14"/>
        <v>LOW</v>
      </c>
    </row>
    <row r="297" spans="1:14" x14ac:dyDescent="0.35">
      <c r="A297" s="2">
        <v>341</v>
      </c>
      <c r="B297" s="3">
        <v>45333</v>
      </c>
      <c r="C297" s="2" t="s">
        <v>348</v>
      </c>
      <c r="D297" s="2" t="s">
        <v>519</v>
      </c>
      <c r="E297" s="2" t="s">
        <v>537</v>
      </c>
      <c r="F297" s="2">
        <v>3</v>
      </c>
      <c r="G297" s="2">
        <v>293.39999999999998</v>
      </c>
      <c r="H297" s="2">
        <v>880.2</v>
      </c>
      <c r="I297" s="2">
        <v>88.02</v>
      </c>
      <c r="J297" s="2">
        <v>968.22</v>
      </c>
      <c r="K297">
        <f t="shared" si="12"/>
        <v>880.19999999999993</v>
      </c>
      <c r="M297" t="str">
        <f t="shared" si="13"/>
        <v>LOW</v>
      </c>
      <c r="N297" t="str">
        <f t="shared" si="14"/>
        <v>LOW</v>
      </c>
    </row>
    <row r="298" spans="1:14" x14ac:dyDescent="0.35">
      <c r="A298" s="2">
        <v>83</v>
      </c>
      <c r="B298" s="3">
        <v>45633</v>
      </c>
      <c r="C298" s="2" t="s">
        <v>92</v>
      </c>
      <c r="D298" s="2" t="s">
        <v>523</v>
      </c>
      <c r="E298" s="2" t="s">
        <v>534</v>
      </c>
      <c r="F298" s="2">
        <v>2</v>
      </c>
      <c r="G298" s="2">
        <v>435.22</v>
      </c>
      <c r="H298" s="2">
        <v>870.44</v>
      </c>
      <c r="I298" s="2">
        <v>87.04</v>
      </c>
      <c r="J298" s="2">
        <v>957.48</v>
      </c>
      <c r="K298">
        <f t="shared" si="12"/>
        <v>870.44</v>
      </c>
      <c r="M298" t="str">
        <f t="shared" si="13"/>
        <v>LOW</v>
      </c>
      <c r="N298" t="str">
        <f t="shared" si="14"/>
        <v>LOW</v>
      </c>
    </row>
    <row r="299" spans="1:14" x14ac:dyDescent="0.35">
      <c r="A299" s="2">
        <v>13</v>
      </c>
      <c r="B299" s="3">
        <v>45400</v>
      </c>
      <c r="C299" s="2" t="s">
        <v>22</v>
      </c>
      <c r="D299" s="2" t="s">
        <v>519</v>
      </c>
      <c r="E299" s="2" t="s">
        <v>537</v>
      </c>
      <c r="F299" s="2">
        <v>2</v>
      </c>
      <c r="G299" s="2">
        <v>432.86</v>
      </c>
      <c r="H299" s="2">
        <v>865.72</v>
      </c>
      <c r="I299" s="2">
        <v>86.57</v>
      </c>
      <c r="J299" s="2">
        <v>952.29</v>
      </c>
      <c r="K299">
        <f t="shared" si="12"/>
        <v>865.72</v>
      </c>
      <c r="M299" t="str">
        <f t="shared" si="13"/>
        <v>LOW</v>
      </c>
      <c r="N299" t="str">
        <f t="shared" si="14"/>
        <v>LOW</v>
      </c>
    </row>
    <row r="300" spans="1:14" x14ac:dyDescent="0.35">
      <c r="A300" s="2">
        <v>128</v>
      </c>
      <c r="B300" s="3">
        <v>45646</v>
      </c>
      <c r="C300" s="2" t="s">
        <v>137</v>
      </c>
      <c r="D300" s="2" t="s">
        <v>508</v>
      </c>
      <c r="E300" s="2" t="s">
        <v>533</v>
      </c>
      <c r="F300" s="2">
        <v>9</v>
      </c>
      <c r="G300" s="2">
        <v>96.17</v>
      </c>
      <c r="H300" s="2">
        <v>865.53</v>
      </c>
      <c r="I300" s="2">
        <v>86.55</v>
      </c>
      <c r="J300" s="2">
        <v>952.08</v>
      </c>
      <c r="K300">
        <f t="shared" si="12"/>
        <v>865.53</v>
      </c>
      <c r="M300" t="str">
        <f t="shared" si="13"/>
        <v>LOW</v>
      </c>
      <c r="N300" t="str">
        <f t="shared" si="14"/>
        <v>LOW</v>
      </c>
    </row>
    <row r="301" spans="1:14" x14ac:dyDescent="0.35">
      <c r="A301" s="2">
        <v>410</v>
      </c>
      <c r="B301" s="3">
        <v>45623</v>
      </c>
      <c r="C301" s="2" t="s">
        <v>417</v>
      </c>
      <c r="D301" s="2" t="s">
        <v>531</v>
      </c>
      <c r="E301" s="2" t="s">
        <v>533</v>
      </c>
      <c r="F301" s="2">
        <v>2</v>
      </c>
      <c r="G301" s="2">
        <v>431.56</v>
      </c>
      <c r="H301" s="2">
        <v>863.12</v>
      </c>
      <c r="I301" s="2">
        <v>86.31</v>
      </c>
      <c r="J301" s="2">
        <v>949.43</v>
      </c>
      <c r="K301">
        <f t="shared" si="12"/>
        <v>863.12</v>
      </c>
      <c r="M301" t="str">
        <f t="shared" si="13"/>
        <v>LOW</v>
      </c>
      <c r="N301" t="str">
        <f t="shared" si="14"/>
        <v>LOW</v>
      </c>
    </row>
    <row r="302" spans="1:14" x14ac:dyDescent="0.35">
      <c r="A302" s="2">
        <v>470</v>
      </c>
      <c r="B302" s="3">
        <v>45407</v>
      </c>
      <c r="C302" s="2" t="s">
        <v>477</v>
      </c>
      <c r="D302" s="2" t="s">
        <v>521</v>
      </c>
      <c r="E302" s="2" t="s">
        <v>533</v>
      </c>
      <c r="F302" s="2">
        <v>10</v>
      </c>
      <c r="G302" s="2">
        <v>85.89</v>
      </c>
      <c r="H302" s="2">
        <v>858.9</v>
      </c>
      <c r="I302" s="2">
        <v>85.89</v>
      </c>
      <c r="J302" s="2">
        <v>944.79</v>
      </c>
      <c r="K302">
        <f t="shared" si="12"/>
        <v>858.9</v>
      </c>
      <c r="M302" t="str">
        <f t="shared" si="13"/>
        <v>LOW</v>
      </c>
      <c r="N302" t="str">
        <f t="shared" si="14"/>
        <v>LOW</v>
      </c>
    </row>
    <row r="303" spans="1:14" x14ac:dyDescent="0.35">
      <c r="A303" s="2">
        <v>282</v>
      </c>
      <c r="B303" s="3">
        <v>45610</v>
      </c>
      <c r="C303" s="2" t="s">
        <v>289</v>
      </c>
      <c r="D303" s="2" t="s">
        <v>520</v>
      </c>
      <c r="E303" s="2" t="s">
        <v>536</v>
      </c>
      <c r="F303" s="2">
        <v>5</v>
      </c>
      <c r="G303" s="2">
        <v>171.69</v>
      </c>
      <c r="H303" s="2">
        <v>858.45</v>
      </c>
      <c r="I303" s="2">
        <v>85.85</v>
      </c>
      <c r="J303" s="2">
        <v>944.3</v>
      </c>
      <c r="K303">
        <f t="shared" si="12"/>
        <v>858.45</v>
      </c>
      <c r="M303" t="str">
        <f t="shared" si="13"/>
        <v>LOW</v>
      </c>
      <c r="N303" t="str">
        <f t="shared" si="14"/>
        <v>LOW</v>
      </c>
    </row>
    <row r="304" spans="1:14" ht="29" x14ac:dyDescent="0.35">
      <c r="A304" s="2">
        <v>234</v>
      </c>
      <c r="B304" s="3">
        <v>45362</v>
      </c>
      <c r="C304" s="2" t="s">
        <v>243</v>
      </c>
      <c r="D304" s="2" t="s">
        <v>513</v>
      </c>
      <c r="E304" s="2" t="s">
        <v>535</v>
      </c>
      <c r="F304" s="2">
        <v>5</v>
      </c>
      <c r="G304" s="2">
        <v>171.24</v>
      </c>
      <c r="H304" s="2">
        <v>856.2</v>
      </c>
      <c r="I304" s="2">
        <v>85.62</v>
      </c>
      <c r="J304" s="2">
        <v>941.82</v>
      </c>
      <c r="K304">
        <f t="shared" si="12"/>
        <v>856.2</v>
      </c>
      <c r="M304" t="str">
        <f t="shared" si="13"/>
        <v>LOW</v>
      </c>
      <c r="N304" t="str">
        <f t="shared" si="14"/>
        <v>LOW</v>
      </c>
    </row>
    <row r="305" spans="1:14" x14ac:dyDescent="0.35">
      <c r="A305" s="2">
        <v>251</v>
      </c>
      <c r="B305" s="3">
        <v>45521</v>
      </c>
      <c r="C305" s="2" t="s">
        <v>260</v>
      </c>
      <c r="D305" s="2" t="s">
        <v>519</v>
      </c>
      <c r="E305" s="2" t="s">
        <v>537</v>
      </c>
      <c r="F305" s="2">
        <v>10</v>
      </c>
      <c r="G305" s="2">
        <v>85.36</v>
      </c>
      <c r="H305" s="2">
        <v>853.6</v>
      </c>
      <c r="I305" s="2">
        <v>85.36</v>
      </c>
      <c r="J305" s="2">
        <v>938.96</v>
      </c>
      <c r="K305">
        <f t="shared" si="12"/>
        <v>853.6</v>
      </c>
      <c r="M305" t="str">
        <f t="shared" si="13"/>
        <v>LOW</v>
      </c>
      <c r="N305" t="str">
        <f t="shared" si="14"/>
        <v>LOW</v>
      </c>
    </row>
    <row r="306" spans="1:14" x14ac:dyDescent="0.35">
      <c r="A306" s="2">
        <v>313</v>
      </c>
      <c r="B306" s="3">
        <v>45484</v>
      </c>
      <c r="C306" s="2" t="s">
        <v>320</v>
      </c>
      <c r="D306" s="2" t="s">
        <v>509</v>
      </c>
      <c r="E306" s="2" t="s">
        <v>534</v>
      </c>
      <c r="F306" s="2">
        <v>2</v>
      </c>
      <c r="G306" s="2">
        <v>422.63</v>
      </c>
      <c r="H306" s="2">
        <v>845.26</v>
      </c>
      <c r="I306" s="2">
        <v>84.53</v>
      </c>
      <c r="J306" s="2">
        <v>929.79</v>
      </c>
      <c r="K306">
        <f t="shared" si="12"/>
        <v>845.26</v>
      </c>
      <c r="M306" t="str">
        <f t="shared" si="13"/>
        <v>LOW</v>
      </c>
      <c r="N306" t="str">
        <f t="shared" si="14"/>
        <v>LOW</v>
      </c>
    </row>
    <row r="307" spans="1:14" x14ac:dyDescent="0.35">
      <c r="A307" s="2">
        <v>184</v>
      </c>
      <c r="B307" s="3">
        <v>45436</v>
      </c>
      <c r="C307" s="2" t="s">
        <v>193</v>
      </c>
      <c r="D307" s="2" t="s">
        <v>516</v>
      </c>
      <c r="E307" s="2" t="s">
        <v>535</v>
      </c>
      <c r="F307" s="2">
        <v>3</v>
      </c>
      <c r="G307" s="2">
        <v>281.69</v>
      </c>
      <c r="H307" s="2">
        <v>845.07</v>
      </c>
      <c r="I307" s="2">
        <v>84.51</v>
      </c>
      <c r="J307" s="2">
        <v>929.58</v>
      </c>
      <c r="K307">
        <f t="shared" si="12"/>
        <v>845.06999999999994</v>
      </c>
      <c r="M307" t="str">
        <f t="shared" si="13"/>
        <v>LOW</v>
      </c>
      <c r="N307" t="str">
        <f t="shared" si="14"/>
        <v>LOW</v>
      </c>
    </row>
    <row r="308" spans="1:14" ht="29" x14ac:dyDescent="0.35">
      <c r="A308" s="2">
        <v>372</v>
      </c>
      <c r="B308" s="3">
        <v>45597</v>
      </c>
      <c r="C308" s="2" t="s">
        <v>379</v>
      </c>
      <c r="D308" s="2" t="s">
        <v>524</v>
      </c>
      <c r="E308" s="2" t="s">
        <v>534</v>
      </c>
      <c r="F308" s="2">
        <v>3</v>
      </c>
      <c r="G308" s="2">
        <v>278.52</v>
      </c>
      <c r="H308" s="2">
        <v>835.56</v>
      </c>
      <c r="I308" s="2">
        <v>83.56</v>
      </c>
      <c r="J308" s="2">
        <v>919.12</v>
      </c>
      <c r="K308">
        <f t="shared" si="12"/>
        <v>835.56</v>
      </c>
      <c r="M308" t="str">
        <f t="shared" si="13"/>
        <v>LOW</v>
      </c>
      <c r="N308" t="str">
        <f t="shared" si="14"/>
        <v>LOW</v>
      </c>
    </row>
    <row r="309" spans="1:14" x14ac:dyDescent="0.35">
      <c r="A309" s="2">
        <v>300</v>
      </c>
      <c r="B309" s="3">
        <v>45435</v>
      </c>
      <c r="C309" s="2" t="s">
        <v>307</v>
      </c>
      <c r="D309" s="2" t="s">
        <v>521</v>
      </c>
      <c r="E309" s="2" t="s">
        <v>533</v>
      </c>
      <c r="F309" s="2">
        <v>2</v>
      </c>
      <c r="G309" s="2">
        <v>417.61</v>
      </c>
      <c r="H309" s="2">
        <v>835.22</v>
      </c>
      <c r="I309" s="2">
        <v>83.52</v>
      </c>
      <c r="J309" s="2">
        <v>918.74</v>
      </c>
      <c r="K309">
        <f t="shared" si="12"/>
        <v>835.22</v>
      </c>
      <c r="M309" t="str">
        <f t="shared" si="13"/>
        <v>LOW</v>
      </c>
      <c r="N309" t="str">
        <f t="shared" si="14"/>
        <v>LOW</v>
      </c>
    </row>
    <row r="310" spans="1:14" x14ac:dyDescent="0.35">
      <c r="A310" s="2">
        <v>109</v>
      </c>
      <c r="B310" s="3">
        <v>45589</v>
      </c>
      <c r="C310" s="2" t="s">
        <v>118</v>
      </c>
      <c r="D310" s="2" t="s">
        <v>521</v>
      </c>
      <c r="E310" s="2" t="s">
        <v>533</v>
      </c>
      <c r="F310" s="2">
        <v>5</v>
      </c>
      <c r="G310" s="2">
        <v>163.68</v>
      </c>
      <c r="H310" s="2">
        <v>818.4</v>
      </c>
      <c r="I310" s="2">
        <v>81.84</v>
      </c>
      <c r="J310" s="2">
        <v>900.24</v>
      </c>
      <c r="K310">
        <f t="shared" si="12"/>
        <v>818.40000000000009</v>
      </c>
      <c r="M310" t="str">
        <f t="shared" si="13"/>
        <v>LOW</v>
      </c>
      <c r="N310" t="str">
        <f t="shared" si="14"/>
        <v>LOW</v>
      </c>
    </row>
    <row r="311" spans="1:14" x14ac:dyDescent="0.35">
      <c r="A311" s="2">
        <v>114</v>
      </c>
      <c r="B311" s="3">
        <v>45607</v>
      </c>
      <c r="C311" s="2" t="s">
        <v>123</v>
      </c>
      <c r="D311" s="2" t="s">
        <v>520</v>
      </c>
      <c r="E311" s="2" t="s">
        <v>536</v>
      </c>
      <c r="F311" s="2">
        <v>9</v>
      </c>
      <c r="G311" s="2">
        <v>90.15</v>
      </c>
      <c r="H311" s="2">
        <v>811.35</v>
      </c>
      <c r="I311" s="2">
        <v>81.14</v>
      </c>
      <c r="J311" s="2">
        <v>892.49</v>
      </c>
      <c r="K311">
        <f t="shared" si="12"/>
        <v>811.35</v>
      </c>
      <c r="M311" t="str">
        <f t="shared" si="13"/>
        <v>LOW</v>
      </c>
      <c r="N311" t="str">
        <f t="shared" si="14"/>
        <v>LOW</v>
      </c>
    </row>
    <row r="312" spans="1:14" x14ac:dyDescent="0.35">
      <c r="A312" s="2">
        <v>365</v>
      </c>
      <c r="B312" s="3">
        <v>45369</v>
      </c>
      <c r="C312" s="2" t="s">
        <v>372</v>
      </c>
      <c r="D312" s="2" t="s">
        <v>511</v>
      </c>
      <c r="E312" s="2" t="s">
        <v>535</v>
      </c>
      <c r="F312" s="2">
        <v>4</v>
      </c>
      <c r="G312" s="2">
        <v>200.65</v>
      </c>
      <c r="H312" s="2">
        <v>802.6</v>
      </c>
      <c r="I312" s="2">
        <v>80.260000000000005</v>
      </c>
      <c r="J312" s="2">
        <v>882.86</v>
      </c>
      <c r="K312">
        <f t="shared" si="12"/>
        <v>802.6</v>
      </c>
      <c r="M312" t="str">
        <f t="shared" si="13"/>
        <v>LOW</v>
      </c>
      <c r="N312" t="str">
        <f t="shared" si="14"/>
        <v>LOW</v>
      </c>
    </row>
    <row r="313" spans="1:14" x14ac:dyDescent="0.35">
      <c r="A313" s="2">
        <v>480</v>
      </c>
      <c r="B313" s="3">
        <v>45540</v>
      </c>
      <c r="C313" s="2" t="s">
        <v>487</v>
      </c>
      <c r="D313" s="2" t="s">
        <v>518</v>
      </c>
      <c r="E313" s="2" t="s">
        <v>533</v>
      </c>
      <c r="F313" s="2">
        <v>5</v>
      </c>
      <c r="G313" s="2">
        <v>160.07</v>
      </c>
      <c r="H313" s="2">
        <v>800.35</v>
      </c>
      <c r="I313" s="2">
        <v>80.040000000000006</v>
      </c>
      <c r="J313" s="2">
        <v>880.39</v>
      </c>
      <c r="K313">
        <f t="shared" si="12"/>
        <v>800.34999999999991</v>
      </c>
      <c r="M313" t="str">
        <f t="shared" si="13"/>
        <v>LOW</v>
      </c>
      <c r="N313" t="str">
        <f t="shared" si="14"/>
        <v>LOW</v>
      </c>
    </row>
    <row r="314" spans="1:14" ht="29" x14ac:dyDescent="0.35">
      <c r="A314" s="2">
        <v>102</v>
      </c>
      <c r="B314" s="3">
        <v>45391</v>
      </c>
      <c r="C314" s="2" t="s">
        <v>111</v>
      </c>
      <c r="D314" s="2" t="s">
        <v>515</v>
      </c>
      <c r="E314" s="2" t="s">
        <v>536</v>
      </c>
      <c r="F314" s="2">
        <v>9</v>
      </c>
      <c r="G314" s="2">
        <v>88.05</v>
      </c>
      <c r="H314" s="2">
        <v>792.45</v>
      </c>
      <c r="I314" s="2">
        <v>79.25</v>
      </c>
      <c r="J314" s="2">
        <v>871.7</v>
      </c>
      <c r="K314">
        <f t="shared" si="12"/>
        <v>792.44999999999993</v>
      </c>
      <c r="M314" t="str">
        <f t="shared" si="13"/>
        <v>LOW</v>
      </c>
      <c r="N314" t="str">
        <f t="shared" si="14"/>
        <v>LOW</v>
      </c>
    </row>
    <row r="315" spans="1:14" x14ac:dyDescent="0.35">
      <c r="A315" s="2">
        <v>180</v>
      </c>
      <c r="B315" s="3">
        <v>45394</v>
      </c>
      <c r="C315" s="2" t="s">
        <v>189</v>
      </c>
      <c r="D315" s="2" t="s">
        <v>518</v>
      </c>
      <c r="E315" s="2" t="s">
        <v>533</v>
      </c>
      <c r="F315" s="2">
        <v>4</v>
      </c>
      <c r="G315" s="2">
        <v>197.44</v>
      </c>
      <c r="H315" s="2">
        <v>789.76</v>
      </c>
      <c r="I315" s="2">
        <v>78.98</v>
      </c>
      <c r="J315" s="2">
        <v>868.74</v>
      </c>
      <c r="K315">
        <f t="shared" si="12"/>
        <v>789.76</v>
      </c>
      <c r="M315" t="str">
        <f t="shared" si="13"/>
        <v>LOW</v>
      </c>
      <c r="N315" t="str">
        <f t="shared" si="14"/>
        <v>LOW</v>
      </c>
    </row>
    <row r="316" spans="1:14" x14ac:dyDescent="0.35">
      <c r="A316" s="2">
        <v>389</v>
      </c>
      <c r="B316" s="3">
        <v>45575</v>
      </c>
      <c r="C316" s="2" t="s">
        <v>396</v>
      </c>
      <c r="D316" s="2" t="s">
        <v>523</v>
      </c>
      <c r="E316" s="2" t="s">
        <v>534</v>
      </c>
      <c r="F316" s="2">
        <v>4</v>
      </c>
      <c r="G316" s="2">
        <v>194.89</v>
      </c>
      <c r="H316" s="2">
        <v>779.56</v>
      </c>
      <c r="I316" s="2">
        <v>77.959999999999994</v>
      </c>
      <c r="J316" s="2">
        <v>857.52</v>
      </c>
      <c r="K316">
        <f t="shared" si="12"/>
        <v>779.56</v>
      </c>
      <c r="M316" t="str">
        <f t="shared" si="13"/>
        <v>LOW</v>
      </c>
      <c r="N316" t="str">
        <f t="shared" si="14"/>
        <v>LOW</v>
      </c>
    </row>
    <row r="317" spans="1:14" x14ac:dyDescent="0.35">
      <c r="A317" s="2">
        <v>129</v>
      </c>
      <c r="B317" s="3">
        <v>45463</v>
      </c>
      <c r="C317" s="2" t="s">
        <v>138</v>
      </c>
      <c r="D317" s="2" t="s">
        <v>510</v>
      </c>
      <c r="E317" s="2" t="s">
        <v>533</v>
      </c>
      <c r="F317" s="2">
        <v>4</v>
      </c>
      <c r="G317" s="2">
        <v>193.19</v>
      </c>
      <c r="H317" s="2">
        <v>772.76</v>
      </c>
      <c r="I317" s="2">
        <v>77.28</v>
      </c>
      <c r="J317" s="2">
        <v>850.04</v>
      </c>
      <c r="K317">
        <f t="shared" si="12"/>
        <v>772.76</v>
      </c>
      <c r="M317" t="str">
        <f t="shared" si="13"/>
        <v>LOW</v>
      </c>
      <c r="N317" t="str">
        <f t="shared" si="14"/>
        <v>LOW</v>
      </c>
    </row>
    <row r="318" spans="1:14" x14ac:dyDescent="0.35">
      <c r="A318" s="2">
        <v>265</v>
      </c>
      <c r="B318" s="3">
        <v>45351</v>
      </c>
      <c r="C318" s="2" t="s">
        <v>273</v>
      </c>
      <c r="D318" s="2" t="s">
        <v>508</v>
      </c>
      <c r="E318" s="2" t="s">
        <v>533</v>
      </c>
      <c r="F318" s="2">
        <v>2</v>
      </c>
      <c r="G318" s="2">
        <v>382.92</v>
      </c>
      <c r="H318" s="2">
        <v>765.84</v>
      </c>
      <c r="I318" s="2">
        <v>76.58</v>
      </c>
      <c r="J318" s="2">
        <v>842.42</v>
      </c>
      <c r="K318">
        <f t="shared" si="12"/>
        <v>765.84</v>
      </c>
      <c r="M318" t="str">
        <f t="shared" si="13"/>
        <v>LOW</v>
      </c>
      <c r="N318" t="str">
        <f t="shared" si="14"/>
        <v>LOW</v>
      </c>
    </row>
    <row r="319" spans="1:14" ht="29" x14ac:dyDescent="0.35">
      <c r="A319" s="2">
        <v>475</v>
      </c>
      <c r="B319" s="3">
        <v>45597</v>
      </c>
      <c r="C319" s="2" t="s">
        <v>482</v>
      </c>
      <c r="D319" s="2" t="s">
        <v>531</v>
      </c>
      <c r="E319" s="2" t="s">
        <v>533</v>
      </c>
      <c r="F319" s="2">
        <v>2</v>
      </c>
      <c r="G319" s="2">
        <v>382.7</v>
      </c>
      <c r="H319" s="2">
        <v>765.4</v>
      </c>
      <c r="I319" s="2">
        <v>76.540000000000006</v>
      </c>
      <c r="J319" s="2">
        <v>841.94</v>
      </c>
      <c r="K319">
        <f t="shared" si="12"/>
        <v>765.4</v>
      </c>
      <c r="M319" t="str">
        <f t="shared" si="13"/>
        <v>LOW</v>
      </c>
      <c r="N319" t="str">
        <f t="shared" si="14"/>
        <v>LOW</v>
      </c>
    </row>
    <row r="320" spans="1:14" ht="29" x14ac:dyDescent="0.35">
      <c r="A320" s="2">
        <v>328</v>
      </c>
      <c r="B320" s="3">
        <v>45591</v>
      </c>
      <c r="C320" s="2" t="s">
        <v>335</v>
      </c>
      <c r="D320" s="2" t="s">
        <v>530</v>
      </c>
      <c r="E320" s="2" t="s">
        <v>537</v>
      </c>
      <c r="F320" s="2">
        <v>6</v>
      </c>
      <c r="G320" s="2">
        <v>124.92</v>
      </c>
      <c r="H320" s="2">
        <v>749.52</v>
      </c>
      <c r="I320" s="2">
        <v>74.95</v>
      </c>
      <c r="J320" s="2">
        <v>824.47</v>
      </c>
      <c r="K320">
        <f t="shared" si="12"/>
        <v>749.52</v>
      </c>
      <c r="M320" t="str">
        <f t="shared" si="13"/>
        <v>LOW</v>
      </c>
      <c r="N320" t="str">
        <f t="shared" si="14"/>
        <v>LOW</v>
      </c>
    </row>
    <row r="321" spans="1:14" x14ac:dyDescent="0.35">
      <c r="A321" s="2">
        <v>87</v>
      </c>
      <c r="B321" s="3">
        <v>45352</v>
      </c>
      <c r="C321" s="2" t="s">
        <v>96</v>
      </c>
      <c r="D321" s="2" t="s">
        <v>520</v>
      </c>
      <c r="E321" s="2" t="s">
        <v>536</v>
      </c>
      <c r="F321" s="2">
        <v>4</v>
      </c>
      <c r="G321" s="2">
        <v>187.27</v>
      </c>
      <c r="H321" s="2">
        <v>749.08</v>
      </c>
      <c r="I321" s="2">
        <v>74.91</v>
      </c>
      <c r="J321" s="2">
        <v>823.99</v>
      </c>
      <c r="K321">
        <f t="shared" si="12"/>
        <v>749.08</v>
      </c>
      <c r="M321" t="str">
        <f t="shared" si="13"/>
        <v>LOW</v>
      </c>
      <c r="N321" t="str">
        <f t="shared" si="14"/>
        <v>LOW</v>
      </c>
    </row>
    <row r="322" spans="1:14" ht="29" x14ac:dyDescent="0.35">
      <c r="A322" s="2">
        <v>41</v>
      </c>
      <c r="B322" s="3">
        <v>45574</v>
      </c>
      <c r="C322" s="2" t="s">
        <v>50</v>
      </c>
      <c r="D322" s="2" t="s">
        <v>516</v>
      </c>
      <c r="E322" s="2" t="s">
        <v>535</v>
      </c>
      <c r="F322" s="2">
        <v>6</v>
      </c>
      <c r="G322" s="2">
        <v>123.45</v>
      </c>
      <c r="H322" s="2">
        <v>740.7</v>
      </c>
      <c r="I322" s="2">
        <v>74.069999999999993</v>
      </c>
      <c r="J322" s="2">
        <v>814.77</v>
      </c>
      <c r="K322">
        <f t="shared" si="12"/>
        <v>740.7</v>
      </c>
      <c r="M322" t="str">
        <f t="shared" si="13"/>
        <v>LOW</v>
      </c>
      <c r="N322" t="str">
        <f t="shared" si="14"/>
        <v>LOW</v>
      </c>
    </row>
    <row r="323" spans="1:14" x14ac:dyDescent="0.35">
      <c r="A323" s="2">
        <v>348</v>
      </c>
      <c r="B323" s="3">
        <v>45450</v>
      </c>
      <c r="C323" s="2" t="s">
        <v>355</v>
      </c>
      <c r="D323" s="2" t="s">
        <v>512</v>
      </c>
      <c r="E323" s="2" t="s">
        <v>534</v>
      </c>
      <c r="F323" s="2">
        <v>8</v>
      </c>
      <c r="G323" s="2">
        <v>90.71</v>
      </c>
      <c r="H323" s="2">
        <v>725.68</v>
      </c>
      <c r="I323" s="2">
        <v>72.569999999999993</v>
      </c>
      <c r="J323" s="2">
        <v>798.25</v>
      </c>
      <c r="K323">
        <f t="shared" ref="K323:K386" si="15">F323*G323</f>
        <v>725.68</v>
      </c>
      <c r="M323" t="str">
        <f t="shared" ref="M323:M386" si="16">IF(H323&gt;2500,"HIGH","LOW")</f>
        <v>LOW</v>
      </c>
      <c r="N323" t="str">
        <f t="shared" ref="N323:N386" si="17">IF(H323&gt;2500,"HIGH",IF(H323&lt;1000,"LOW","MEDIUM"))</f>
        <v>LOW</v>
      </c>
    </row>
    <row r="324" spans="1:14" x14ac:dyDescent="0.35">
      <c r="A324" s="2">
        <v>474</v>
      </c>
      <c r="B324" s="3">
        <v>45422</v>
      </c>
      <c r="C324" s="2" t="s">
        <v>481</v>
      </c>
      <c r="D324" s="2" t="s">
        <v>525</v>
      </c>
      <c r="E324" s="2" t="s">
        <v>535</v>
      </c>
      <c r="F324" s="2">
        <v>3</v>
      </c>
      <c r="G324" s="2">
        <v>239.49</v>
      </c>
      <c r="H324" s="2">
        <v>718.47</v>
      </c>
      <c r="I324" s="2">
        <v>71.849999999999994</v>
      </c>
      <c r="J324" s="2">
        <v>790.32</v>
      </c>
      <c r="K324">
        <f t="shared" si="15"/>
        <v>718.47</v>
      </c>
      <c r="M324" t="str">
        <f t="shared" si="16"/>
        <v>LOW</v>
      </c>
      <c r="N324" t="str">
        <f t="shared" si="17"/>
        <v>LOW</v>
      </c>
    </row>
    <row r="325" spans="1:14" x14ac:dyDescent="0.35">
      <c r="A325" s="2">
        <v>207</v>
      </c>
      <c r="B325" s="3">
        <v>45488</v>
      </c>
      <c r="C325" s="2" t="s">
        <v>216</v>
      </c>
      <c r="D325" s="2" t="s">
        <v>521</v>
      </c>
      <c r="E325" s="2" t="s">
        <v>533</v>
      </c>
      <c r="F325" s="2">
        <v>2</v>
      </c>
      <c r="G325" s="2">
        <v>355.99</v>
      </c>
      <c r="H325" s="2">
        <v>711.98</v>
      </c>
      <c r="I325" s="2">
        <v>71.2</v>
      </c>
      <c r="J325" s="2">
        <v>783.18</v>
      </c>
      <c r="K325">
        <f t="shared" si="15"/>
        <v>711.98</v>
      </c>
      <c r="M325" t="str">
        <f t="shared" si="16"/>
        <v>LOW</v>
      </c>
      <c r="N325" t="str">
        <f t="shared" si="17"/>
        <v>LOW</v>
      </c>
    </row>
    <row r="326" spans="1:14" x14ac:dyDescent="0.35">
      <c r="A326" s="2">
        <v>100</v>
      </c>
      <c r="B326" s="3">
        <v>45375</v>
      </c>
      <c r="C326" s="2" t="s">
        <v>109</v>
      </c>
      <c r="D326" s="2" t="s">
        <v>529</v>
      </c>
      <c r="E326" s="2" t="s">
        <v>535</v>
      </c>
      <c r="F326" s="2">
        <v>3</v>
      </c>
      <c r="G326" s="2">
        <v>235.77</v>
      </c>
      <c r="H326" s="2">
        <v>707.31</v>
      </c>
      <c r="I326" s="2">
        <v>70.73</v>
      </c>
      <c r="J326" s="2">
        <v>778.04</v>
      </c>
      <c r="K326">
        <f t="shared" si="15"/>
        <v>707.31000000000006</v>
      </c>
      <c r="M326" t="str">
        <f t="shared" si="16"/>
        <v>LOW</v>
      </c>
      <c r="N326" t="str">
        <f t="shared" si="17"/>
        <v>LOW</v>
      </c>
    </row>
    <row r="327" spans="1:14" x14ac:dyDescent="0.35">
      <c r="A327" s="2">
        <v>291</v>
      </c>
      <c r="B327" s="3">
        <v>45333</v>
      </c>
      <c r="C327" s="2" t="s">
        <v>298</v>
      </c>
      <c r="D327" s="2" t="s">
        <v>523</v>
      </c>
      <c r="E327" s="2" t="s">
        <v>534</v>
      </c>
      <c r="F327" s="2">
        <v>7</v>
      </c>
      <c r="G327" s="2">
        <v>99.03</v>
      </c>
      <c r="H327" s="2">
        <v>693.21</v>
      </c>
      <c r="I327" s="2">
        <v>69.319999999999993</v>
      </c>
      <c r="J327" s="2">
        <v>762.53</v>
      </c>
      <c r="K327">
        <f t="shared" si="15"/>
        <v>693.21</v>
      </c>
      <c r="M327" t="str">
        <f t="shared" si="16"/>
        <v>LOW</v>
      </c>
      <c r="N327" t="str">
        <f t="shared" si="17"/>
        <v>LOW</v>
      </c>
    </row>
    <row r="328" spans="1:14" x14ac:dyDescent="0.35">
      <c r="A328" s="2">
        <v>467</v>
      </c>
      <c r="B328" s="3">
        <v>45440</v>
      </c>
      <c r="C328" s="2" t="s">
        <v>474</v>
      </c>
      <c r="D328" s="2" t="s">
        <v>522</v>
      </c>
      <c r="E328" s="2" t="s">
        <v>536</v>
      </c>
      <c r="F328" s="2">
        <v>3</v>
      </c>
      <c r="G328" s="2">
        <v>230.59</v>
      </c>
      <c r="H328" s="2">
        <v>691.77</v>
      </c>
      <c r="I328" s="2">
        <v>69.180000000000007</v>
      </c>
      <c r="J328" s="2">
        <v>760.95</v>
      </c>
      <c r="K328">
        <f t="shared" si="15"/>
        <v>691.77</v>
      </c>
      <c r="M328" t="str">
        <f t="shared" si="16"/>
        <v>LOW</v>
      </c>
      <c r="N328" t="str">
        <f t="shared" si="17"/>
        <v>LOW</v>
      </c>
    </row>
    <row r="329" spans="1:14" x14ac:dyDescent="0.35">
      <c r="A329" s="2">
        <v>429</v>
      </c>
      <c r="B329" s="3">
        <v>45404</v>
      </c>
      <c r="C329" s="2" t="s">
        <v>436</v>
      </c>
      <c r="D329" s="2" t="s">
        <v>525</v>
      </c>
      <c r="E329" s="2" t="s">
        <v>535</v>
      </c>
      <c r="F329" s="2">
        <v>3</v>
      </c>
      <c r="G329" s="2">
        <v>230.48</v>
      </c>
      <c r="H329" s="2">
        <v>691.44</v>
      </c>
      <c r="I329" s="2">
        <v>69.14</v>
      </c>
      <c r="J329" s="2">
        <v>760.58</v>
      </c>
      <c r="K329">
        <f t="shared" si="15"/>
        <v>691.43999999999994</v>
      </c>
      <c r="M329" t="str">
        <f t="shared" si="16"/>
        <v>LOW</v>
      </c>
      <c r="N329" t="str">
        <f t="shared" si="17"/>
        <v>LOW</v>
      </c>
    </row>
    <row r="330" spans="1:14" x14ac:dyDescent="0.35">
      <c r="A330" s="2">
        <v>135</v>
      </c>
      <c r="B330" s="3">
        <v>45357</v>
      </c>
      <c r="C330" s="2" t="s">
        <v>144</v>
      </c>
      <c r="D330" s="2" t="s">
        <v>509</v>
      </c>
      <c r="E330" s="2" t="s">
        <v>534</v>
      </c>
      <c r="F330" s="2">
        <v>4</v>
      </c>
      <c r="G330" s="2">
        <v>172.15</v>
      </c>
      <c r="H330" s="2">
        <v>688.6</v>
      </c>
      <c r="I330" s="2">
        <v>68.86</v>
      </c>
      <c r="J330" s="2">
        <v>757.46</v>
      </c>
      <c r="K330">
        <f t="shared" si="15"/>
        <v>688.6</v>
      </c>
      <c r="M330" t="str">
        <f t="shared" si="16"/>
        <v>LOW</v>
      </c>
      <c r="N330" t="str">
        <f t="shared" si="17"/>
        <v>LOW</v>
      </c>
    </row>
    <row r="331" spans="1:14" x14ac:dyDescent="0.35">
      <c r="A331" s="2">
        <v>274</v>
      </c>
      <c r="B331" s="3">
        <v>45332</v>
      </c>
      <c r="C331" s="2" t="s">
        <v>281</v>
      </c>
      <c r="D331" s="2" t="s">
        <v>509</v>
      </c>
      <c r="E331" s="2" t="s">
        <v>534</v>
      </c>
      <c r="F331" s="2">
        <v>5</v>
      </c>
      <c r="G331" s="2">
        <v>137.65</v>
      </c>
      <c r="H331" s="2">
        <v>688.25</v>
      </c>
      <c r="I331" s="2">
        <v>68.83</v>
      </c>
      <c r="J331" s="2">
        <v>757.08</v>
      </c>
      <c r="K331">
        <f t="shared" si="15"/>
        <v>688.25</v>
      </c>
      <c r="M331" t="str">
        <f t="shared" si="16"/>
        <v>LOW</v>
      </c>
      <c r="N331" t="str">
        <f t="shared" si="17"/>
        <v>LOW</v>
      </c>
    </row>
    <row r="332" spans="1:14" x14ac:dyDescent="0.35">
      <c r="A332" s="2">
        <v>101</v>
      </c>
      <c r="B332" s="3">
        <v>45343</v>
      </c>
      <c r="C332" s="2" t="s">
        <v>110</v>
      </c>
      <c r="D332" s="2" t="s">
        <v>531</v>
      </c>
      <c r="E332" s="2" t="s">
        <v>533</v>
      </c>
      <c r="F332" s="2">
        <v>5</v>
      </c>
      <c r="G332" s="2">
        <v>137.06</v>
      </c>
      <c r="H332" s="2">
        <v>685.3</v>
      </c>
      <c r="I332" s="2">
        <v>68.53</v>
      </c>
      <c r="J332" s="2">
        <v>753.83</v>
      </c>
      <c r="K332">
        <f t="shared" si="15"/>
        <v>685.3</v>
      </c>
      <c r="M332" t="str">
        <f t="shared" si="16"/>
        <v>LOW</v>
      </c>
      <c r="N332" t="str">
        <f t="shared" si="17"/>
        <v>LOW</v>
      </c>
    </row>
    <row r="333" spans="1:14" ht="29" x14ac:dyDescent="0.35">
      <c r="A333" s="2">
        <v>137</v>
      </c>
      <c r="B333" s="3">
        <v>45647</v>
      </c>
      <c r="C333" s="2" t="s">
        <v>146</v>
      </c>
      <c r="D333" s="2" t="s">
        <v>529</v>
      </c>
      <c r="E333" s="2" t="s">
        <v>535</v>
      </c>
      <c r="F333" s="2">
        <v>4</v>
      </c>
      <c r="G333" s="2">
        <v>171.11</v>
      </c>
      <c r="H333" s="2">
        <v>684.44</v>
      </c>
      <c r="I333" s="2">
        <v>68.44</v>
      </c>
      <c r="J333" s="2">
        <v>752.88</v>
      </c>
      <c r="K333">
        <f t="shared" si="15"/>
        <v>684.44</v>
      </c>
      <c r="M333" t="str">
        <f t="shared" si="16"/>
        <v>LOW</v>
      </c>
      <c r="N333" t="str">
        <f t="shared" si="17"/>
        <v>LOW</v>
      </c>
    </row>
    <row r="334" spans="1:14" ht="29" x14ac:dyDescent="0.35">
      <c r="A334" s="2">
        <v>11</v>
      </c>
      <c r="B334" s="3">
        <v>45531</v>
      </c>
      <c r="C334" s="2" t="s">
        <v>20</v>
      </c>
      <c r="D334" s="2" t="s">
        <v>517</v>
      </c>
      <c r="E334" s="2" t="s">
        <v>537</v>
      </c>
      <c r="F334" s="2">
        <v>5</v>
      </c>
      <c r="G334" s="2">
        <v>135.16</v>
      </c>
      <c r="H334" s="2">
        <v>675.8</v>
      </c>
      <c r="I334" s="2">
        <v>67.58</v>
      </c>
      <c r="J334" s="2">
        <v>743.38</v>
      </c>
      <c r="K334">
        <f t="shared" si="15"/>
        <v>675.8</v>
      </c>
      <c r="M334" t="str">
        <f t="shared" si="16"/>
        <v>LOW</v>
      </c>
      <c r="N334" t="str">
        <f t="shared" si="17"/>
        <v>LOW</v>
      </c>
    </row>
    <row r="335" spans="1:14" ht="29" x14ac:dyDescent="0.35">
      <c r="A335" s="2">
        <v>393</v>
      </c>
      <c r="B335" s="3">
        <v>45651</v>
      </c>
      <c r="C335" s="2" t="s">
        <v>400</v>
      </c>
      <c r="D335" s="2" t="s">
        <v>515</v>
      </c>
      <c r="E335" s="2" t="s">
        <v>536</v>
      </c>
      <c r="F335" s="2">
        <v>5</v>
      </c>
      <c r="G335" s="2">
        <v>134.46</v>
      </c>
      <c r="H335" s="2">
        <v>672.3</v>
      </c>
      <c r="I335" s="2">
        <v>67.23</v>
      </c>
      <c r="J335" s="2">
        <v>739.53</v>
      </c>
      <c r="K335">
        <f t="shared" si="15"/>
        <v>672.30000000000007</v>
      </c>
      <c r="M335" t="str">
        <f t="shared" si="16"/>
        <v>LOW</v>
      </c>
      <c r="N335" t="str">
        <f t="shared" si="17"/>
        <v>LOW</v>
      </c>
    </row>
    <row r="336" spans="1:14" x14ac:dyDescent="0.35">
      <c r="A336" s="2">
        <v>444</v>
      </c>
      <c r="B336" s="3">
        <v>45491</v>
      </c>
      <c r="C336" s="2" t="s">
        <v>451</v>
      </c>
      <c r="D336" s="2" t="s">
        <v>508</v>
      </c>
      <c r="E336" s="2" t="s">
        <v>533</v>
      </c>
      <c r="F336" s="2">
        <v>3</v>
      </c>
      <c r="G336" s="2">
        <v>216.63</v>
      </c>
      <c r="H336" s="2">
        <v>649.89</v>
      </c>
      <c r="I336" s="2">
        <v>64.989999999999995</v>
      </c>
      <c r="J336" s="2">
        <v>714.88</v>
      </c>
      <c r="K336">
        <f t="shared" si="15"/>
        <v>649.89</v>
      </c>
      <c r="M336" t="str">
        <f t="shared" si="16"/>
        <v>LOW</v>
      </c>
      <c r="N336" t="str">
        <f t="shared" si="17"/>
        <v>LOW</v>
      </c>
    </row>
    <row r="337" spans="1:14" ht="29" x14ac:dyDescent="0.35">
      <c r="A337" s="2">
        <v>330</v>
      </c>
      <c r="B337" s="3">
        <v>45535</v>
      </c>
      <c r="C337" s="2" t="s">
        <v>337</v>
      </c>
      <c r="D337" s="2" t="s">
        <v>517</v>
      </c>
      <c r="E337" s="2" t="s">
        <v>537</v>
      </c>
      <c r="F337" s="2">
        <v>8</v>
      </c>
      <c r="G337" s="2">
        <v>80.16</v>
      </c>
      <c r="H337" s="2">
        <v>641.28</v>
      </c>
      <c r="I337" s="2">
        <v>64.13</v>
      </c>
      <c r="J337" s="2">
        <v>705.41</v>
      </c>
      <c r="K337">
        <f t="shared" si="15"/>
        <v>641.28</v>
      </c>
      <c r="M337" t="str">
        <f t="shared" si="16"/>
        <v>LOW</v>
      </c>
      <c r="N337" t="str">
        <f t="shared" si="17"/>
        <v>LOW</v>
      </c>
    </row>
    <row r="338" spans="1:14" ht="29" x14ac:dyDescent="0.35">
      <c r="A338" s="2">
        <v>345</v>
      </c>
      <c r="B338" s="3">
        <v>45453</v>
      </c>
      <c r="C338" s="2" t="s">
        <v>352</v>
      </c>
      <c r="D338" s="2" t="s">
        <v>528</v>
      </c>
      <c r="E338" s="2" t="s">
        <v>536</v>
      </c>
      <c r="F338" s="2">
        <v>5</v>
      </c>
      <c r="G338" s="2">
        <v>128.21</v>
      </c>
      <c r="H338" s="2">
        <v>641.04999999999995</v>
      </c>
      <c r="I338" s="2">
        <v>64.11</v>
      </c>
      <c r="J338" s="2">
        <v>705.16</v>
      </c>
      <c r="K338">
        <f t="shared" si="15"/>
        <v>641.05000000000007</v>
      </c>
      <c r="M338" t="str">
        <f t="shared" si="16"/>
        <v>LOW</v>
      </c>
      <c r="N338" t="str">
        <f t="shared" si="17"/>
        <v>LOW</v>
      </c>
    </row>
    <row r="339" spans="1:14" ht="29" x14ac:dyDescent="0.35">
      <c r="A339" s="2">
        <v>4</v>
      </c>
      <c r="B339" s="3">
        <v>45485</v>
      </c>
      <c r="C339" s="2" t="s">
        <v>13</v>
      </c>
      <c r="D339" s="2" t="s">
        <v>511</v>
      </c>
      <c r="E339" s="2" t="s">
        <v>535</v>
      </c>
      <c r="F339" s="2">
        <v>5</v>
      </c>
      <c r="G339" s="2">
        <v>126.46</v>
      </c>
      <c r="H339" s="2">
        <v>632.29999999999995</v>
      </c>
      <c r="I339" s="2">
        <v>63.23</v>
      </c>
      <c r="J339" s="2">
        <v>695.53</v>
      </c>
      <c r="K339">
        <f t="shared" si="15"/>
        <v>632.29999999999995</v>
      </c>
      <c r="M339" t="str">
        <f t="shared" si="16"/>
        <v>LOW</v>
      </c>
      <c r="N339" t="str">
        <f t="shared" si="17"/>
        <v>LOW</v>
      </c>
    </row>
    <row r="340" spans="1:14" ht="29" x14ac:dyDescent="0.35">
      <c r="A340" s="2">
        <v>17</v>
      </c>
      <c r="B340" s="3">
        <v>45505</v>
      </c>
      <c r="C340" s="2" t="s">
        <v>26</v>
      </c>
      <c r="D340" s="2" t="s">
        <v>520</v>
      </c>
      <c r="E340" s="2" t="s">
        <v>536</v>
      </c>
      <c r="F340" s="2">
        <v>2</v>
      </c>
      <c r="G340" s="2">
        <v>303.72000000000003</v>
      </c>
      <c r="H340" s="2">
        <v>607.44000000000005</v>
      </c>
      <c r="I340" s="2">
        <v>60.74</v>
      </c>
      <c r="J340" s="2">
        <v>668.18</v>
      </c>
      <c r="K340">
        <f t="shared" si="15"/>
        <v>607.44000000000005</v>
      </c>
      <c r="M340" t="str">
        <f t="shared" si="16"/>
        <v>LOW</v>
      </c>
      <c r="N340" t="str">
        <f t="shared" si="17"/>
        <v>LOW</v>
      </c>
    </row>
    <row r="341" spans="1:14" ht="29" x14ac:dyDescent="0.35">
      <c r="A341" s="2">
        <v>449</v>
      </c>
      <c r="B341" s="3">
        <v>45372</v>
      </c>
      <c r="C341" s="2" t="s">
        <v>456</v>
      </c>
      <c r="D341" s="2" t="s">
        <v>514</v>
      </c>
      <c r="E341" s="2" t="s">
        <v>534</v>
      </c>
      <c r="F341" s="2">
        <v>3</v>
      </c>
      <c r="G341" s="2">
        <v>202.23</v>
      </c>
      <c r="H341" s="2">
        <v>606.69000000000005</v>
      </c>
      <c r="I341" s="2">
        <v>60.67</v>
      </c>
      <c r="J341" s="2">
        <v>667.36</v>
      </c>
      <c r="K341">
        <f t="shared" si="15"/>
        <v>606.68999999999994</v>
      </c>
      <c r="M341" t="str">
        <f t="shared" si="16"/>
        <v>LOW</v>
      </c>
      <c r="N341" t="str">
        <f t="shared" si="17"/>
        <v>LOW</v>
      </c>
    </row>
    <row r="342" spans="1:14" x14ac:dyDescent="0.35">
      <c r="A342" s="2">
        <v>224</v>
      </c>
      <c r="B342" s="3">
        <v>45618</v>
      </c>
      <c r="C342" s="2" t="s">
        <v>233</v>
      </c>
      <c r="D342" s="2" t="s">
        <v>531</v>
      </c>
      <c r="E342" s="2" t="s">
        <v>533</v>
      </c>
      <c r="F342" s="2">
        <v>5</v>
      </c>
      <c r="G342" s="2">
        <v>120.9</v>
      </c>
      <c r="H342" s="2">
        <v>604.5</v>
      </c>
      <c r="I342" s="2">
        <v>60.45</v>
      </c>
      <c r="J342" s="2">
        <v>664.95</v>
      </c>
      <c r="K342">
        <f t="shared" si="15"/>
        <v>604.5</v>
      </c>
      <c r="M342" t="str">
        <f t="shared" si="16"/>
        <v>LOW</v>
      </c>
      <c r="N342" t="str">
        <f t="shared" si="17"/>
        <v>LOW</v>
      </c>
    </row>
    <row r="343" spans="1:14" x14ac:dyDescent="0.35">
      <c r="A343" s="2">
        <v>66</v>
      </c>
      <c r="B343" s="3">
        <v>45364</v>
      </c>
      <c r="C343" s="2" t="s">
        <v>75</v>
      </c>
      <c r="D343" s="2" t="s">
        <v>508</v>
      </c>
      <c r="E343" s="2" t="s">
        <v>533</v>
      </c>
      <c r="F343" s="2">
        <v>3</v>
      </c>
      <c r="G343" s="2">
        <v>200.03</v>
      </c>
      <c r="H343" s="2">
        <v>600.09</v>
      </c>
      <c r="I343" s="2">
        <v>60.01</v>
      </c>
      <c r="J343" s="2">
        <v>660.1</v>
      </c>
      <c r="K343">
        <f t="shared" si="15"/>
        <v>600.09</v>
      </c>
      <c r="M343" t="str">
        <f t="shared" si="16"/>
        <v>LOW</v>
      </c>
      <c r="N343" t="str">
        <f t="shared" si="17"/>
        <v>LOW</v>
      </c>
    </row>
    <row r="344" spans="1:14" ht="29" x14ac:dyDescent="0.35">
      <c r="A344" s="2">
        <v>151</v>
      </c>
      <c r="B344" s="3">
        <v>45463</v>
      </c>
      <c r="C344" s="2" t="s">
        <v>160</v>
      </c>
      <c r="D344" s="2" t="s">
        <v>524</v>
      </c>
      <c r="E344" s="2" t="s">
        <v>534</v>
      </c>
      <c r="F344" s="2">
        <v>2</v>
      </c>
      <c r="G344" s="2">
        <v>299.42</v>
      </c>
      <c r="H344" s="2">
        <v>598.84</v>
      </c>
      <c r="I344" s="2">
        <v>59.88</v>
      </c>
      <c r="J344" s="2">
        <v>658.72</v>
      </c>
      <c r="K344">
        <f t="shared" si="15"/>
        <v>598.84</v>
      </c>
      <c r="M344" t="str">
        <f t="shared" si="16"/>
        <v>LOW</v>
      </c>
      <c r="N344" t="str">
        <f t="shared" si="17"/>
        <v>LOW</v>
      </c>
    </row>
    <row r="345" spans="1:14" ht="29" x14ac:dyDescent="0.35">
      <c r="A345" s="2">
        <v>303</v>
      </c>
      <c r="B345" s="3">
        <v>45426</v>
      </c>
      <c r="C345" s="2" t="s">
        <v>310</v>
      </c>
      <c r="D345" s="2" t="s">
        <v>515</v>
      </c>
      <c r="E345" s="2" t="s">
        <v>536</v>
      </c>
      <c r="F345" s="2">
        <v>2</v>
      </c>
      <c r="G345" s="2">
        <v>297.95999999999998</v>
      </c>
      <c r="H345" s="2">
        <v>595.91999999999996</v>
      </c>
      <c r="I345" s="2">
        <v>59.59</v>
      </c>
      <c r="J345" s="2">
        <v>655.51</v>
      </c>
      <c r="K345">
        <f t="shared" si="15"/>
        <v>595.91999999999996</v>
      </c>
      <c r="M345" t="str">
        <f t="shared" si="16"/>
        <v>LOW</v>
      </c>
      <c r="N345" t="str">
        <f t="shared" si="17"/>
        <v>LOW</v>
      </c>
    </row>
    <row r="346" spans="1:14" ht="29" x14ac:dyDescent="0.35">
      <c r="A346" s="2">
        <v>346</v>
      </c>
      <c r="B346" s="3">
        <v>45422</v>
      </c>
      <c r="C346" s="2" t="s">
        <v>353</v>
      </c>
      <c r="D346" s="2" t="s">
        <v>528</v>
      </c>
      <c r="E346" s="2" t="s">
        <v>536</v>
      </c>
      <c r="F346" s="2">
        <v>3</v>
      </c>
      <c r="G346" s="2">
        <v>197.97</v>
      </c>
      <c r="H346" s="2">
        <v>593.91</v>
      </c>
      <c r="I346" s="2">
        <v>59.39</v>
      </c>
      <c r="J346" s="2">
        <v>653.29999999999995</v>
      </c>
      <c r="K346">
        <f t="shared" si="15"/>
        <v>593.91</v>
      </c>
      <c r="M346" t="str">
        <f t="shared" si="16"/>
        <v>LOW</v>
      </c>
      <c r="N346" t="str">
        <f t="shared" si="17"/>
        <v>LOW</v>
      </c>
    </row>
    <row r="347" spans="1:14" ht="29" x14ac:dyDescent="0.35">
      <c r="A347" s="2">
        <v>248</v>
      </c>
      <c r="B347" s="3">
        <v>45687</v>
      </c>
      <c r="C347" s="2" t="s">
        <v>257</v>
      </c>
      <c r="D347" s="2" t="s">
        <v>530</v>
      </c>
      <c r="E347" s="2" t="s">
        <v>537</v>
      </c>
      <c r="F347" s="2">
        <v>2</v>
      </c>
      <c r="G347" s="2">
        <v>295.95</v>
      </c>
      <c r="H347" s="2">
        <v>591.9</v>
      </c>
      <c r="I347" s="2">
        <v>59.19</v>
      </c>
      <c r="J347" s="2">
        <v>651.09</v>
      </c>
      <c r="K347">
        <f t="shared" si="15"/>
        <v>591.9</v>
      </c>
      <c r="M347" t="str">
        <f t="shared" si="16"/>
        <v>LOW</v>
      </c>
      <c r="N347" t="str">
        <f t="shared" si="17"/>
        <v>LOW</v>
      </c>
    </row>
    <row r="348" spans="1:14" ht="29" x14ac:dyDescent="0.35">
      <c r="A348" s="2">
        <v>299</v>
      </c>
      <c r="B348" s="3">
        <v>45327</v>
      </c>
      <c r="C348" s="2" t="s">
        <v>306</v>
      </c>
      <c r="D348" s="2" t="s">
        <v>530</v>
      </c>
      <c r="E348" s="2" t="s">
        <v>537</v>
      </c>
      <c r="F348" s="2">
        <v>2</v>
      </c>
      <c r="G348" s="2">
        <v>286.14999999999998</v>
      </c>
      <c r="H348" s="2">
        <v>572.29999999999995</v>
      </c>
      <c r="I348" s="2">
        <v>57.23</v>
      </c>
      <c r="J348" s="2">
        <v>629.53</v>
      </c>
      <c r="K348">
        <f t="shared" si="15"/>
        <v>572.29999999999995</v>
      </c>
      <c r="M348" t="str">
        <f t="shared" si="16"/>
        <v>LOW</v>
      </c>
      <c r="N348" t="str">
        <f t="shared" si="17"/>
        <v>LOW</v>
      </c>
    </row>
    <row r="349" spans="1:14" x14ac:dyDescent="0.35">
      <c r="A349" s="2">
        <v>268</v>
      </c>
      <c r="B349" s="3">
        <v>45591</v>
      </c>
      <c r="C349" s="2" t="s">
        <v>275</v>
      </c>
      <c r="D349" s="2" t="s">
        <v>508</v>
      </c>
      <c r="E349" s="2" t="s">
        <v>533</v>
      </c>
      <c r="F349" s="2">
        <v>6</v>
      </c>
      <c r="G349" s="2">
        <v>94.29</v>
      </c>
      <c r="H349" s="2">
        <v>565.74</v>
      </c>
      <c r="I349" s="2">
        <v>56.57</v>
      </c>
      <c r="J349" s="2">
        <v>622.30999999999995</v>
      </c>
      <c r="K349">
        <f t="shared" si="15"/>
        <v>565.74</v>
      </c>
      <c r="M349" t="str">
        <f t="shared" si="16"/>
        <v>LOW</v>
      </c>
      <c r="N349" t="str">
        <f t="shared" si="17"/>
        <v>LOW</v>
      </c>
    </row>
    <row r="350" spans="1:14" x14ac:dyDescent="0.35">
      <c r="A350" s="2">
        <v>147</v>
      </c>
      <c r="B350" s="3">
        <v>45565</v>
      </c>
      <c r="C350" s="2" t="s">
        <v>156</v>
      </c>
      <c r="D350" s="2" t="s">
        <v>522</v>
      </c>
      <c r="E350" s="2" t="s">
        <v>536</v>
      </c>
      <c r="F350" s="2">
        <v>3</v>
      </c>
      <c r="G350" s="2">
        <v>188.06</v>
      </c>
      <c r="H350" s="2">
        <v>564.17999999999995</v>
      </c>
      <c r="I350" s="2">
        <v>56.42</v>
      </c>
      <c r="J350" s="2">
        <v>620.6</v>
      </c>
      <c r="K350">
        <f t="shared" si="15"/>
        <v>564.18000000000006</v>
      </c>
      <c r="M350" t="str">
        <f t="shared" si="16"/>
        <v>LOW</v>
      </c>
      <c r="N350" t="str">
        <f t="shared" si="17"/>
        <v>LOW</v>
      </c>
    </row>
    <row r="351" spans="1:14" x14ac:dyDescent="0.35">
      <c r="A351" s="2">
        <v>416</v>
      </c>
      <c r="B351" s="3">
        <v>45457</v>
      </c>
      <c r="C351" s="2" t="s">
        <v>423</v>
      </c>
      <c r="D351" s="2" t="s">
        <v>526</v>
      </c>
      <c r="E351" s="2" t="s">
        <v>537</v>
      </c>
      <c r="F351" s="2">
        <v>2</v>
      </c>
      <c r="G351" s="2">
        <v>279.31</v>
      </c>
      <c r="H351" s="2">
        <v>558.62</v>
      </c>
      <c r="I351" s="2">
        <v>55.86</v>
      </c>
      <c r="J351" s="2">
        <v>614.48</v>
      </c>
      <c r="K351">
        <f t="shared" si="15"/>
        <v>558.62</v>
      </c>
      <c r="M351" t="str">
        <f t="shared" si="16"/>
        <v>LOW</v>
      </c>
      <c r="N351" t="str">
        <f t="shared" si="17"/>
        <v>LOW</v>
      </c>
    </row>
    <row r="352" spans="1:14" x14ac:dyDescent="0.35">
      <c r="A352" s="2">
        <v>247</v>
      </c>
      <c r="B352" s="3">
        <v>45591</v>
      </c>
      <c r="C352" s="2" t="s">
        <v>256</v>
      </c>
      <c r="D352" s="2" t="s">
        <v>512</v>
      </c>
      <c r="E352" s="2" t="s">
        <v>534</v>
      </c>
      <c r="F352" s="2">
        <v>2</v>
      </c>
      <c r="G352" s="2">
        <v>278.62</v>
      </c>
      <c r="H352" s="2">
        <v>557.24</v>
      </c>
      <c r="I352" s="2">
        <v>55.72</v>
      </c>
      <c r="J352" s="2">
        <v>612.96</v>
      </c>
      <c r="K352">
        <f t="shared" si="15"/>
        <v>557.24</v>
      </c>
      <c r="M352" t="str">
        <f t="shared" si="16"/>
        <v>LOW</v>
      </c>
      <c r="N352" t="str">
        <f t="shared" si="17"/>
        <v>LOW</v>
      </c>
    </row>
    <row r="353" spans="1:14" ht="29" x14ac:dyDescent="0.35">
      <c r="A353" s="2">
        <v>495</v>
      </c>
      <c r="B353" s="3">
        <v>45560</v>
      </c>
      <c r="C353" s="2" t="s">
        <v>502</v>
      </c>
      <c r="D353" s="2" t="s">
        <v>527</v>
      </c>
      <c r="E353" s="2" t="s">
        <v>536</v>
      </c>
      <c r="F353" s="2">
        <v>2</v>
      </c>
      <c r="G353" s="2">
        <v>273.82</v>
      </c>
      <c r="H353" s="2">
        <v>547.64</v>
      </c>
      <c r="I353" s="2">
        <v>54.76</v>
      </c>
      <c r="J353" s="2">
        <v>602.4</v>
      </c>
      <c r="K353">
        <f t="shared" si="15"/>
        <v>547.64</v>
      </c>
      <c r="M353" t="str">
        <f t="shared" si="16"/>
        <v>LOW</v>
      </c>
      <c r="N353" t="str">
        <f t="shared" si="17"/>
        <v>LOW</v>
      </c>
    </row>
    <row r="354" spans="1:14" x14ac:dyDescent="0.35">
      <c r="A354" s="2">
        <v>302</v>
      </c>
      <c r="B354" s="3">
        <v>45618</v>
      </c>
      <c r="C354" s="2" t="s">
        <v>309</v>
      </c>
      <c r="D354" s="2" t="s">
        <v>520</v>
      </c>
      <c r="E354" s="2" t="s">
        <v>536</v>
      </c>
      <c r="F354" s="2">
        <v>3</v>
      </c>
      <c r="G354" s="2">
        <v>180.35</v>
      </c>
      <c r="H354" s="2">
        <v>541.04999999999995</v>
      </c>
      <c r="I354" s="2">
        <v>54.1</v>
      </c>
      <c r="J354" s="2">
        <v>595.15</v>
      </c>
      <c r="K354">
        <f t="shared" si="15"/>
        <v>541.04999999999995</v>
      </c>
      <c r="M354" t="str">
        <f t="shared" si="16"/>
        <v>LOW</v>
      </c>
      <c r="N354" t="str">
        <f t="shared" si="17"/>
        <v>LOW</v>
      </c>
    </row>
    <row r="355" spans="1:14" x14ac:dyDescent="0.35">
      <c r="A355" s="2">
        <v>296</v>
      </c>
      <c r="B355" s="3">
        <v>45518</v>
      </c>
      <c r="C355" s="2" t="s">
        <v>303</v>
      </c>
      <c r="D355" s="2" t="s">
        <v>518</v>
      </c>
      <c r="E355" s="2" t="s">
        <v>533</v>
      </c>
      <c r="F355" s="2">
        <v>5</v>
      </c>
      <c r="G355" s="2">
        <v>108.04</v>
      </c>
      <c r="H355" s="2">
        <v>540.20000000000005</v>
      </c>
      <c r="I355" s="2">
        <v>54.02</v>
      </c>
      <c r="J355" s="2">
        <v>594.22</v>
      </c>
      <c r="K355">
        <f t="shared" si="15"/>
        <v>540.20000000000005</v>
      </c>
      <c r="M355" t="str">
        <f t="shared" si="16"/>
        <v>LOW</v>
      </c>
      <c r="N355" t="str">
        <f t="shared" si="17"/>
        <v>LOW</v>
      </c>
    </row>
    <row r="356" spans="1:14" x14ac:dyDescent="0.35">
      <c r="A356" s="2">
        <v>261</v>
      </c>
      <c r="B356" s="3">
        <v>45638</v>
      </c>
      <c r="C356" s="2" t="s">
        <v>270</v>
      </c>
      <c r="D356" s="2" t="s">
        <v>510</v>
      </c>
      <c r="E356" s="2" t="s">
        <v>533</v>
      </c>
      <c r="F356" s="2">
        <v>2</v>
      </c>
      <c r="G356" s="2">
        <v>269.75</v>
      </c>
      <c r="H356" s="2">
        <v>539.5</v>
      </c>
      <c r="I356" s="2">
        <v>53.95</v>
      </c>
      <c r="J356" s="2">
        <v>593.45000000000005</v>
      </c>
      <c r="K356">
        <f t="shared" si="15"/>
        <v>539.5</v>
      </c>
      <c r="M356" t="str">
        <f t="shared" si="16"/>
        <v>LOW</v>
      </c>
      <c r="N356" t="str">
        <f t="shared" si="17"/>
        <v>LOW</v>
      </c>
    </row>
    <row r="357" spans="1:14" x14ac:dyDescent="0.35">
      <c r="A357" s="2">
        <v>190</v>
      </c>
      <c r="B357" s="3">
        <v>45430</v>
      </c>
      <c r="C357" s="2" t="s">
        <v>199</v>
      </c>
      <c r="D357" s="2" t="s">
        <v>532</v>
      </c>
      <c r="E357" s="2" t="s">
        <v>537</v>
      </c>
      <c r="F357" s="2">
        <v>2</v>
      </c>
      <c r="G357" s="2">
        <v>267.92</v>
      </c>
      <c r="H357" s="2">
        <v>535.84</v>
      </c>
      <c r="I357" s="2">
        <v>53.58</v>
      </c>
      <c r="J357" s="2">
        <v>589.41999999999996</v>
      </c>
      <c r="K357">
        <f t="shared" si="15"/>
        <v>535.84</v>
      </c>
      <c r="M357" t="str">
        <f t="shared" si="16"/>
        <v>LOW</v>
      </c>
      <c r="N357" t="str">
        <f t="shared" si="17"/>
        <v>LOW</v>
      </c>
    </row>
    <row r="358" spans="1:14" ht="29" x14ac:dyDescent="0.35">
      <c r="A358" s="2">
        <v>243</v>
      </c>
      <c r="B358" s="3">
        <v>45476</v>
      </c>
      <c r="C358" s="2" t="s">
        <v>252</v>
      </c>
      <c r="D358" s="2" t="s">
        <v>527</v>
      </c>
      <c r="E358" s="2" t="s">
        <v>536</v>
      </c>
      <c r="F358" s="2">
        <v>10</v>
      </c>
      <c r="G358" s="2">
        <v>52.93</v>
      </c>
      <c r="H358" s="2">
        <v>529.29999999999995</v>
      </c>
      <c r="I358" s="2">
        <v>52.93</v>
      </c>
      <c r="J358" s="2">
        <v>582.23</v>
      </c>
      <c r="K358">
        <f t="shared" si="15"/>
        <v>529.29999999999995</v>
      </c>
      <c r="M358" t="str">
        <f t="shared" si="16"/>
        <v>LOW</v>
      </c>
      <c r="N358" t="str">
        <f t="shared" si="17"/>
        <v>LOW</v>
      </c>
    </row>
    <row r="359" spans="1:14" ht="29" x14ac:dyDescent="0.35">
      <c r="A359" s="2">
        <v>497</v>
      </c>
      <c r="B359" s="3">
        <v>45588</v>
      </c>
      <c r="C359" s="2" t="s">
        <v>504</v>
      </c>
      <c r="D359" s="2" t="s">
        <v>514</v>
      </c>
      <c r="E359" s="2" t="s">
        <v>534</v>
      </c>
      <c r="F359" s="2">
        <v>2</v>
      </c>
      <c r="G359" s="2">
        <v>264.08</v>
      </c>
      <c r="H359" s="2">
        <v>528.16</v>
      </c>
      <c r="I359" s="2">
        <v>52.82</v>
      </c>
      <c r="J359" s="2">
        <v>580.98</v>
      </c>
      <c r="K359">
        <f t="shared" si="15"/>
        <v>528.16</v>
      </c>
      <c r="M359" t="str">
        <f t="shared" si="16"/>
        <v>LOW</v>
      </c>
      <c r="N359" t="str">
        <f t="shared" si="17"/>
        <v>LOW</v>
      </c>
    </row>
    <row r="360" spans="1:14" x14ac:dyDescent="0.35">
      <c r="A360" s="2">
        <v>10</v>
      </c>
      <c r="B360" s="3">
        <v>45540</v>
      </c>
      <c r="C360" s="2" t="s">
        <v>19</v>
      </c>
      <c r="D360" s="2" t="s">
        <v>511</v>
      </c>
      <c r="E360" s="2" t="s">
        <v>535</v>
      </c>
      <c r="F360" s="2">
        <v>3</v>
      </c>
      <c r="G360" s="2">
        <v>172.45</v>
      </c>
      <c r="H360" s="2">
        <v>517.35</v>
      </c>
      <c r="I360" s="2">
        <v>51.74</v>
      </c>
      <c r="J360" s="2">
        <v>569.09</v>
      </c>
      <c r="K360">
        <f t="shared" si="15"/>
        <v>517.34999999999991</v>
      </c>
      <c r="M360" t="str">
        <f t="shared" si="16"/>
        <v>LOW</v>
      </c>
      <c r="N360" t="str">
        <f t="shared" si="17"/>
        <v>LOW</v>
      </c>
    </row>
    <row r="361" spans="1:14" x14ac:dyDescent="0.35">
      <c r="A361" s="2">
        <v>494</v>
      </c>
      <c r="B361" s="3">
        <v>45597</v>
      </c>
      <c r="C361" s="2" t="s">
        <v>501</v>
      </c>
      <c r="D361" s="2" t="s">
        <v>511</v>
      </c>
      <c r="E361" s="2" t="s">
        <v>535</v>
      </c>
      <c r="F361" s="2">
        <v>4</v>
      </c>
      <c r="G361" s="2">
        <v>127.58</v>
      </c>
      <c r="H361" s="2">
        <v>510.32</v>
      </c>
      <c r="I361" s="2">
        <v>51.03</v>
      </c>
      <c r="J361" s="2">
        <v>561.35</v>
      </c>
      <c r="K361">
        <f t="shared" si="15"/>
        <v>510.32</v>
      </c>
      <c r="M361" t="str">
        <f t="shared" si="16"/>
        <v>LOW</v>
      </c>
      <c r="N361" t="str">
        <f t="shared" si="17"/>
        <v>LOW</v>
      </c>
    </row>
    <row r="362" spans="1:14" ht="29" x14ac:dyDescent="0.35">
      <c r="A362" s="2">
        <v>65</v>
      </c>
      <c r="B362" s="3">
        <v>45383</v>
      </c>
      <c r="C362" s="2" t="s">
        <v>74</v>
      </c>
      <c r="D362" s="2" t="s">
        <v>527</v>
      </c>
      <c r="E362" s="2" t="s">
        <v>536</v>
      </c>
      <c r="F362" s="2">
        <v>5</v>
      </c>
      <c r="G362" s="2">
        <v>101.44</v>
      </c>
      <c r="H362" s="2">
        <v>507.2</v>
      </c>
      <c r="I362" s="2">
        <v>50.72</v>
      </c>
      <c r="J362" s="2">
        <v>557.91999999999996</v>
      </c>
      <c r="K362">
        <f t="shared" si="15"/>
        <v>507.2</v>
      </c>
      <c r="M362" t="str">
        <f t="shared" si="16"/>
        <v>LOW</v>
      </c>
      <c r="N362" t="str">
        <f t="shared" si="17"/>
        <v>LOW</v>
      </c>
    </row>
    <row r="363" spans="1:14" x14ac:dyDescent="0.35">
      <c r="A363" s="2">
        <v>157</v>
      </c>
      <c r="B363" s="3">
        <v>45651</v>
      </c>
      <c r="C363" s="2" t="s">
        <v>166</v>
      </c>
      <c r="D363" s="2" t="s">
        <v>529</v>
      </c>
      <c r="E363" s="2" t="s">
        <v>535</v>
      </c>
      <c r="F363" s="2">
        <v>2</v>
      </c>
      <c r="G363" s="2">
        <v>253.47</v>
      </c>
      <c r="H363" s="2">
        <v>506.94</v>
      </c>
      <c r="I363" s="2">
        <v>50.69</v>
      </c>
      <c r="J363" s="2">
        <v>557.63</v>
      </c>
      <c r="K363">
        <f t="shared" si="15"/>
        <v>506.94</v>
      </c>
      <c r="M363" t="str">
        <f t="shared" si="16"/>
        <v>LOW</v>
      </c>
      <c r="N363" t="str">
        <f t="shared" si="17"/>
        <v>LOW</v>
      </c>
    </row>
    <row r="364" spans="1:14" ht="29" x14ac:dyDescent="0.35">
      <c r="A364" s="2">
        <v>171</v>
      </c>
      <c r="B364" s="3">
        <v>45385</v>
      </c>
      <c r="C364" s="2" t="s">
        <v>180</v>
      </c>
      <c r="D364" s="2" t="s">
        <v>515</v>
      </c>
      <c r="E364" s="2" t="s">
        <v>536</v>
      </c>
      <c r="F364" s="2">
        <v>7</v>
      </c>
      <c r="G364" s="2">
        <v>72.37</v>
      </c>
      <c r="H364" s="2">
        <v>506.59</v>
      </c>
      <c r="I364" s="2">
        <v>50.66</v>
      </c>
      <c r="J364" s="2">
        <v>557.25</v>
      </c>
      <c r="K364">
        <f t="shared" si="15"/>
        <v>506.59000000000003</v>
      </c>
      <c r="M364" t="str">
        <f t="shared" si="16"/>
        <v>LOW</v>
      </c>
      <c r="N364" t="str">
        <f t="shared" si="17"/>
        <v>LOW</v>
      </c>
    </row>
    <row r="365" spans="1:14" ht="29" x14ac:dyDescent="0.35">
      <c r="A365" s="2">
        <v>270</v>
      </c>
      <c r="B365" s="3">
        <v>45513</v>
      </c>
      <c r="C365" s="2" t="s">
        <v>277</v>
      </c>
      <c r="D365" s="2" t="s">
        <v>522</v>
      </c>
      <c r="E365" s="2" t="s">
        <v>536</v>
      </c>
      <c r="F365" s="2">
        <v>6</v>
      </c>
      <c r="G365" s="2">
        <v>84.07</v>
      </c>
      <c r="H365" s="2">
        <v>504.42</v>
      </c>
      <c r="I365" s="2">
        <v>50.44</v>
      </c>
      <c r="J365" s="2">
        <v>554.86</v>
      </c>
      <c r="K365">
        <f t="shared" si="15"/>
        <v>504.41999999999996</v>
      </c>
      <c r="M365" t="str">
        <f t="shared" si="16"/>
        <v>LOW</v>
      </c>
      <c r="N365" t="str">
        <f t="shared" si="17"/>
        <v>LOW</v>
      </c>
    </row>
    <row r="366" spans="1:14" x14ac:dyDescent="0.35">
      <c r="A366" s="2">
        <v>312</v>
      </c>
      <c r="B366" s="3">
        <v>45498</v>
      </c>
      <c r="C366" s="2" t="s">
        <v>319</v>
      </c>
      <c r="D366" s="2" t="s">
        <v>513</v>
      </c>
      <c r="E366" s="2" t="s">
        <v>535</v>
      </c>
      <c r="F366" s="2">
        <v>6</v>
      </c>
      <c r="G366" s="2">
        <v>83.87</v>
      </c>
      <c r="H366" s="2">
        <v>503.22</v>
      </c>
      <c r="I366" s="2">
        <v>50.32</v>
      </c>
      <c r="J366" s="2">
        <v>553.54</v>
      </c>
      <c r="K366">
        <f t="shared" si="15"/>
        <v>503.22</v>
      </c>
      <c r="M366" t="str">
        <f t="shared" si="16"/>
        <v>LOW</v>
      </c>
      <c r="N366" t="str">
        <f t="shared" si="17"/>
        <v>LOW</v>
      </c>
    </row>
    <row r="367" spans="1:14" x14ac:dyDescent="0.35">
      <c r="A367" s="2">
        <v>278</v>
      </c>
      <c r="B367" s="3">
        <v>45589</v>
      </c>
      <c r="C367" s="2" t="s">
        <v>285</v>
      </c>
      <c r="D367" s="2" t="s">
        <v>510</v>
      </c>
      <c r="E367" s="2" t="s">
        <v>533</v>
      </c>
      <c r="F367" s="2">
        <v>8</v>
      </c>
      <c r="G367" s="2">
        <v>62.66</v>
      </c>
      <c r="H367" s="2">
        <v>501.28</v>
      </c>
      <c r="I367" s="2">
        <v>50.13</v>
      </c>
      <c r="J367" s="2">
        <v>551.41</v>
      </c>
      <c r="K367">
        <f t="shared" si="15"/>
        <v>501.28</v>
      </c>
      <c r="M367" t="str">
        <f t="shared" si="16"/>
        <v>LOW</v>
      </c>
      <c r="N367" t="str">
        <f t="shared" si="17"/>
        <v>LOW</v>
      </c>
    </row>
    <row r="368" spans="1:14" ht="29" x14ac:dyDescent="0.35">
      <c r="A368" s="2">
        <v>3</v>
      </c>
      <c r="B368" s="3">
        <v>45343</v>
      </c>
      <c r="C368" s="2" t="s">
        <v>12</v>
      </c>
      <c r="D368" s="2" t="s">
        <v>510</v>
      </c>
      <c r="E368" s="2" t="s">
        <v>533</v>
      </c>
      <c r="F368" s="2">
        <v>6</v>
      </c>
      <c r="G368" s="2">
        <v>83.48</v>
      </c>
      <c r="H368" s="2">
        <v>500.88</v>
      </c>
      <c r="I368" s="2">
        <v>50.09</v>
      </c>
      <c r="J368" s="2">
        <v>550.97</v>
      </c>
      <c r="K368">
        <f t="shared" si="15"/>
        <v>500.88</v>
      </c>
      <c r="M368" t="str">
        <f t="shared" si="16"/>
        <v>LOW</v>
      </c>
      <c r="N368" t="str">
        <f t="shared" si="17"/>
        <v>LOW</v>
      </c>
    </row>
    <row r="369" spans="1:14" x14ac:dyDescent="0.35">
      <c r="A369" s="2">
        <v>383</v>
      </c>
      <c r="B369" s="3">
        <v>45602</v>
      </c>
      <c r="C369" s="2" t="s">
        <v>390</v>
      </c>
      <c r="D369" s="2" t="s">
        <v>516</v>
      </c>
      <c r="E369" s="2" t="s">
        <v>535</v>
      </c>
      <c r="F369" s="2">
        <v>4</v>
      </c>
      <c r="G369" s="2">
        <v>124.03</v>
      </c>
      <c r="H369" s="2">
        <v>496.12</v>
      </c>
      <c r="I369" s="2">
        <v>49.61</v>
      </c>
      <c r="J369" s="2">
        <v>545.73</v>
      </c>
      <c r="K369">
        <f t="shared" si="15"/>
        <v>496.12</v>
      </c>
      <c r="M369" t="str">
        <f t="shared" si="16"/>
        <v>LOW</v>
      </c>
      <c r="N369" t="str">
        <f t="shared" si="17"/>
        <v>LOW</v>
      </c>
    </row>
    <row r="370" spans="1:14" x14ac:dyDescent="0.35">
      <c r="A370" s="2">
        <v>55</v>
      </c>
      <c r="B370" s="3">
        <v>45423</v>
      </c>
      <c r="C370" s="2" t="s">
        <v>64</v>
      </c>
      <c r="D370" s="2" t="s">
        <v>511</v>
      </c>
      <c r="E370" s="2" t="s">
        <v>535</v>
      </c>
      <c r="F370" s="2">
        <v>10</v>
      </c>
      <c r="G370" s="2">
        <v>49.56</v>
      </c>
      <c r="H370" s="2">
        <v>495.6</v>
      </c>
      <c r="I370" s="2">
        <v>49.56</v>
      </c>
      <c r="J370" s="2">
        <v>545.16</v>
      </c>
      <c r="K370">
        <f t="shared" si="15"/>
        <v>495.6</v>
      </c>
      <c r="M370" t="str">
        <f t="shared" si="16"/>
        <v>LOW</v>
      </c>
      <c r="N370" t="str">
        <f t="shared" si="17"/>
        <v>LOW</v>
      </c>
    </row>
    <row r="371" spans="1:14" ht="29" x14ac:dyDescent="0.35">
      <c r="A371" s="2">
        <v>481</v>
      </c>
      <c r="B371" s="3">
        <v>45401</v>
      </c>
      <c r="C371" s="2" t="s">
        <v>488</v>
      </c>
      <c r="D371" s="2" t="s">
        <v>521</v>
      </c>
      <c r="E371" s="2" t="s">
        <v>533</v>
      </c>
      <c r="F371" s="2">
        <v>4</v>
      </c>
      <c r="G371" s="2">
        <v>121.63</v>
      </c>
      <c r="H371" s="2">
        <v>486.52</v>
      </c>
      <c r="I371" s="2">
        <v>48.65</v>
      </c>
      <c r="J371" s="2">
        <v>535.16999999999996</v>
      </c>
      <c r="K371">
        <f t="shared" si="15"/>
        <v>486.52</v>
      </c>
      <c r="M371" t="str">
        <f t="shared" si="16"/>
        <v>LOW</v>
      </c>
      <c r="N371" t="str">
        <f t="shared" si="17"/>
        <v>LOW</v>
      </c>
    </row>
    <row r="372" spans="1:14" ht="29" x14ac:dyDescent="0.35">
      <c r="A372" s="2">
        <v>153</v>
      </c>
      <c r="B372" s="3">
        <v>45400</v>
      </c>
      <c r="C372" s="2" t="s">
        <v>162</v>
      </c>
      <c r="D372" s="2" t="s">
        <v>520</v>
      </c>
      <c r="E372" s="2" t="s">
        <v>536</v>
      </c>
      <c r="F372" s="2">
        <v>1</v>
      </c>
      <c r="G372" s="2">
        <v>485.41</v>
      </c>
      <c r="H372" s="2">
        <v>485.41</v>
      </c>
      <c r="I372" s="2">
        <v>48.54</v>
      </c>
      <c r="J372" s="2">
        <v>533.95000000000005</v>
      </c>
      <c r="K372">
        <f t="shared" si="15"/>
        <v>485.41</v>
      </c>
      <c r="M372" t="str">
        <f t="shared" si="16"/>
        <v>LOW</v>
      </c>
      <c r="N372" t="str">
        <f t="shared" si="17"/>
        <v>LOW</v>
      </c>
    </row>
    <row r="373" spans="1:14" ht="29" x14ac:dyDescent="0.35">
      <c r="A373" s="2">
        <v>200</v>
      </c>
      <c r="B373" s="3">
        <v>45479</v>
      </c>
      <c r="C373" s="2" t="s">
        <v>209</v>
      </c>
      <c r="D373" s="2" t="s">
        <v>518</v>
      </c>
      <c r="E373" s="2" t="s">
        <v>533</v>
      </c>
      <c r="F373" s="2">
        <v>2</v>
      </c>
      <c r="G373" s="2">
        <v>240.56</v>
      </c>
      <c r="H373" s="2">
        <v>481.12</v>
      </c>
      <c r="I373" s="2">
        <v>48.11</v>
      </c>
      <c r="J373" s="2">
        <v>529.23</v>
      </c>
      <c r="K373">
        <f t="shared" si="15"/>
        <v>481.12</v>
      </c>
      <c r="M373" t="str">
        <f t="shared" si="16"/>
        <v>LOW</v>
      </c>
      <c r="N373" t="str">
        <f t="shared" si="17"/>
        <v>LOW</v>
      </c>
    </row>
    <row r="374" spans="1:14" ht="29" x14ac:dyDescent="0.35">
      <c r="A374" s="2">
        <v>26</v>
      </c>
      <c r="B374" s="3">
        <v>45345</v>
      </c>
      <c r="C374" s="2" t="s">
        <v>35</v>
      </c>
      <c r="D374" s="2" t="s">
        <v>514</v>
      </c>
      <c r="E374" s="2" t="s">
        <v>534</v>
      </c>
      <c r="F374" s="2">
        <v>7</v>
      </c>
      <c r="G374" s="2">
        <v>68.52</v>
      </c>
      <c r="H374" s="2">
        <v>479.64</v>
      </c>
      <c r="I374" s="2">
        <v>47.96</v>
      </c>
      <c r="J374" s="2">
        <v>527.6</v>
      </c>
      <c r="K374">
        <f t="shared" si="15"/>
        <v>479.64</v>
      </c>
      <c r="M374" t="str">
        <f t="shared" si="16"/>
        <v>LOW</v>
      </c>
      <c r="N374" t="str">
        <f t="shared" si="17"/>
        <v>LOW</v>
      </c>
    </row>
    <row r="375" spans="1:14" x14ac:dyDescent="0.35">
      <c r="A375" s="2">
        <v>144</v>
      </c>
      <c r="B375" s="3">
        <v>45508</v>
      </c>
      <c r="C375" s="2" t="s">
        <v>153</v>
      </c>
      <c r="D375" s="2" t="s">
        <v>531</v>
      </c>
      <c r="E375" s="2" t="s">
        <v>533</v>
      </c>
      <c r="F375" s="2">
        <v>2</v>
      </c>
      <c r="G375" s="2">
        <v>235.86</v>
      </c>
      <c r="H375" s="2">
        <v>471.72</v>
      </c>
      <c r="I375" s="2">
        <v>47.17</v>
      </c>
      <c r="J375" s="2">
        <v>518.89</v>
      </c>
      <c r="K375">
        <f t="shared" si="15"/>
        <v>471.72</v>
      </c>
      <c r="M375" t="str">
        <f t="shared" si="16"/>
        <v>LOW</v>
      </c>
      <c r="N375" t="str">
        <f t="shared" si="17"/>
        <v>LOW</v>
      </c>
    </row>
    <row r="376" spans="1:14" x14ac:dyDescent="0.35">
      <c r="A376" s="2">
        <v>262</v>
      </c>
      <c r="B376" s="3">
        <v>45560</v>
      </c>
      <c r="C376" s="2" t="s">
        <v>271</v>
      </c>
      <c r="D376" s="2" t="s">
        <v>519</v>
      </c>
      <c r="E376" s="2" t="s">
        <v>537</v>
      </c>
      <c r="F376" s="2">
        <v>7</v>
      </c>
      <c r="G376" s="2">
        <v>67.36</v>
      </c>
      <c r="H376" s="2">
        <v>471.52</v>
      </c>
      <c r="I376" s="2">
        <v>47.15</v>
      </c>
      <c r="J376" s="2">
        <v>518.66999999999996</v>
      </c>
      <c r="K376">
        <f t="shared" si="15"/>
        <v>471.52</v>
      </c>
      <c r="M376" t="str">
        <f t="shared" si="16"/>
        <v>LOW</v>
      </c>
      <c r="N376" t="str">
        <f t="shared" si="17"/>
        <v>LOW</v>
      </c>
    </row>
    <row r="377" spans="1:14" x14ac:dyDescent="0.35">
      <c r="A377" s="2">
        <v>293</v>
      </c>
      <c r="B377" s="3">
        <v>45554</v>
      </c>
      <c r="C377" s="2" t="s">
        <v>300</v>
      </c>
      <c r="D377" s="2" t="s">
        <v>511</v>
      </c>
      <c r="E377" s="2" t="s">
        <v>535</v>
      </c>
      <c r="F377" s="2">
        <v>1</v>
      </c>
      <c r="G377" s="2">
        <v>468.71</v>
      </c>
      <c r="H377" s="2">
        <v>468.71</v>
      </c>
      <c r="I377" s="2">
        <v>46.87</v>
      </c>
      <c r="J377" s="2">
        <v>515.58000000000004</v>
      </c>
      <c r="K377">
        <f t="shared" si="15"/>
        <v>468.71</v>
      </c>
      <c r="M377" t="str">
        <f t="shared" si="16"/>
        <v>LOW</v>
      </c>
      <c r="N377" t="str">
        <f t="shared" si="17"/>
        <v>LOW</v>
      </c>
    </row>
    <row r="378" spans="1:14" ht="29" x14ac:dyDescent="0.35">
      <c r="A378" s="2">
        <v>45</v>
      </c>
      <c r="B378" s="3">
        <v>45477</v>
      </c>
      <c r="C378" s="2" t="s">
        <v>54</v>
      </c>
      <c r="D378" s="2" t="s">
        <v>528</v>
      </c>
      <c r="E378" s="2" t="s">
        <v>536</v>
      </c>
      <c r="F378" s="2">
        <v>8</v>
      </c>
      <c r="G378" s="2">
        <v>58.44</v>
      </c>
      <c r="H378" s="2">
        <v>467.52</v>
      </c>
      <c r="I378" s="2">
        <v>46.75</v>
      </c>
      <c r="J378" s="2">
        <v>514.27</v>
      </c>
      <c r="K378">
        <f t="shared" si="15"/>
        <v>467.52</v>
      </c>
      <c r="M378" t="str">
        <f t="shared" si="16"/>
        <v>LOW</v>
      </c>
      <c r="N378" t="str">
        <f t="shared" si="17"/>
        <v>LOW</v>
      </c>
    </row>
    <row r="379" spans="1:14" x14ac:dyDescent="0.35">
      <c r="A379" s="2">
        <v>204</v>
      </c>
      <c r="B379" s="3">
        <v>45608</v>
      </c>
      <c r="C379" s="2" t="s">
        <v>213</v>
      </c>
      <c r="D379" s="2" t="s">
        <v>518</v>
      </c>
      <c r="E379" s="2" t="s">
        <v>533</v>
      </c>
      <c r="F379" s="2">
        <v>4</v>
      </c>
      <c r="G379" s="2">
        <v>114.76</v>
      </c>
      <c r="H379" s="2">
        <v>459.04</v>
      </c>
      <c r="I379" s="2">
        <v>45.9</v>
      </c>
      <c r="J379" s="2">
        <v>504.94</v>
      </c>
      <c r="K379">
        <f t="shared" si="15"/>
        <v>459.04</v>
      </c>
      <c r="M379" t="str">
        <f t="shared" si="16"/>
        <v>LOW</v>
      </c>
      <c r="N379" t="str">
        <f t="shared" si="17"/>
        <v>LOW</v>
      </c>
    </row>
    <row r="380" spans="1:14" ht="29" x14ac:dyDescent="0.35">
      <c r="A380" s="2">
        <v>428</v>
      </c>
      <c r="B380" s="3">
        <v>45490</v>
      </c>
      <c r="C380" s="2" t="s">
        <v>435</v>
      </c>
      <c r="D380" s="2" t="s">
        <v>528</v>
      </c>
      <c r="E380" s="2" t="s">
        <v>536</v>
      </c>
      <c r="F380" s="2">
        <v>2</v>
      </c>
      <c r="G380" s="2">
        <v>228.59</v>
      </c>
      <c r="H380" s="2">
        <v>457.18</v>
      </c>
      <c r="I380" s="2">
        <v>45.72</v>
      </c>
      <c r="J380" s="2">
        <v>502.9</v>
      </c>
      <c r="K380">
        <f t="shared" si="15"/>
        <v>457.18</v>
      </c>
      <c r="M380" t="str">
        <f t="shared" si="16"/>
        <v>LOW</v>
      </c>
      <c r="N380" t="str">
        <f t="shared" si="17"/>
        <v>LOW</v>
      </c>
    </row>
    <row r="381" spans="1:14" ht="29" x14ac:dyDescent="0.35">
      <c r="A381" s="2">
        <v>138</v>
      </c>
      <c r="B381" s="3">
        <v>45350</v>
      </c>
      <c r="C381" s="2" t="s">
        <v>147</v>
      </c>
      <c r="D381" s="2" t="s">
        <v>529</v>
      </c>
      <c r="E381" s="2" t="s">
        <v>535</v>
      </c>
      <c r="F381" s="2">
        <v>3</v>
      </c>
      <c r="G381" s="2">
        <v>151.62</v>
      </c>
      <c r="H381" s="2">
        <v>454.86</v>
      </c>
      <c r="I381" s="2">
        <v>45.49</v>
      </c>
      <c r="J381" s="2">
        <v>500.35</v>
      </c>
      <c r="K381">
        <f t="shared" si="15"/>
        <v>454.86</v>
      </c>
      <c r="M381" t="str">
        <f t="shared" si="16"/>
        <v>LOW</v>
      </c>
      <c r="N381" t="str">
        <f t="shared" si="17"/>
        <v>LOW</v>
      </c>
    </row>
    <row r="382" spans="1:14" ht="29" x14ac:dyDescent="0.35">
      <c r="A382" s="2">
        <v>263</v>
      </c>
      <c r="B382" s="3">
        <v>45652</v>
      </c>
      <c r="C382" s="2" t="s">
        <v>20</v>
      </c>
      <c r="D382" s="2" t="s">
        <v>514</v>
      </c>
      <c r="E382" s="2" t="s">
        <v>534</v>
      </c>
      <c r="F382" s="2">
        <v>6</v>
      </c>
      <c r="G382" s="2">
        <v>75.69</v>
      </c>
      <c r="H382" s="2">
        <v>454.14</v>
      </c>
      <c r="I382" s="2">
        <v>45.41</v>
      </c>
      <c r="J382" s="2">
        <v>499.55</v>
      </c>
      <c r="K382">
        <f t="shared" si="15"/>
        <v>454.14</v>
      </c>
      <c r="M382" t="str">
        <f t="shared" si="16"/>
        <v>LOW</v>
      </c>
      <c r="N382" t="str">
        <f t="shared" si="17"/>
        <v>LOW</v>
      </c>
    </row>
    <row r="383" spans="1:14" x14ac:dyDescent="0.35">
      <c r="A383" s="2">
        <v>203</v>
      </c>
      <c r="B383" s="3">
        <v>45608</v>
      </c>
      <c r="C383" s="2" t="s">
        <v>212</v>
      </c>
      <c r="D383" s="2" t="s">
        <v>519</v>
      </c>
      <c r="E383" s="2" t="s">
        <v>537</v>
      </c>
      <c r="F383" s="2">
        <v>2</v>
      </c>
      <c r="G383" s="2">
        <v>227.03</v>
      </c>
      <c r="H383" s="2">
        <v>454.06</v>
      </c>
      <c r="I383" s="2">
        <v>45.41</v>
      </c>
      <c r="J383" s="2">
        <v>499.47</v>
      </c>
      <c r="K383">
        <f t="shared" si="15"/>
        <v>454.06</v>
      </c>
      <c r="M383" t="str">
        <f t="shared" si="16"/>
        <v>LOW</v>
      </c>
      <c r="N383" t="str">
        <f t="shared" si="17"/>
        <v>LOW</v>
      </c>
    </row>
    <row r="384" spans="1:14" x14ac:dyDescent="0.35">
      <c r="A384" s="2">
        <v>409</v>
      </c>
      <c r="B384" s="3">
        <v>45680</v>
      </c>
      <c r="C384" s="2" t="s">
        <v>416</v>
      </c>
      <c r="D384" s="2" t="s">
        <v>519</v>
      </c>
      <c r="E384" s="2" t="s">
        <v>537</v>
      </c>
      <c r="F384" s="2">
        <v>7</v>
      </c>
      <c r="G384" s="2">
        <v>64.86</v>
      </c>
      <c r="H384" s="2">
        <v>454.02</v>
      </c>
      <c r="I384" s="2">
        <v>45.4</v>
      </c>
      <c r="J384" s="2">
        <v>499.42</v>
      </c>
      <c r="K384">
        <f t="shared" si="15"/>
        <v>454.02</v>
      </c>
      <c r="M384" t="str">
        <f t="shared" si="16"/>
        <v>LOW</v>
      </c>
      <c r="N384" t="str">
        <f t="shared" si="17"/>
        <v>LOW</v>
      </c>
    </row>
    <row r="385" spans="1:14" x14ac:dyDescent="0.35">
      <c r="A385" s="2">
        <v>359</v>
      </c>
      <c r="B385" s="3">
        <v>45402</v>
      </c>
      <c r="C385" s="2" t="s">
        <v>366</v>
      </c>
      <c r="D385" s="2" t="s">
        <v>532</v>
      </c>
      <c r="E385" s="2" t="s">
        <v>537</v>
      </c>
      <c r="F385" s="2">
        <v>1</v>
      </c>
      <c r="G385" s="2">
        <v>451.11</v>
      </c>
      <c r="H385" s="2">
        <v>451.11</v>
      </c>
      <c r="I385" s="2">
        <v>45.11</v>
      </c>
      <c r="J385" s="2">
        <v>496.22</v>
      </c>
      <c r="K385">
        <f t="shared" si="15"/>
        <v>451.11</v>
      </c>
      <c r="M385" t="str">
        <f t="shared" si="16"/>
        <v>LOW</v>
      </c>
      <c r="N385" t="str">
        <f t="shared" si="17"/>
        <v>LOW</v>
      </c>
    </row>
    <row r="386" spans="1:14" x14ac:dyDescent="0.35">
      <c r="A386" s="2">
        <v>352</v>
      </c>
      <c r="B386" s="3">
        <v>45456</v>
      </c>
      <c r="C386" s="2" t="s">
        <v>359</v>
      </c>
      <c r="D386" s="2" t="s">
        <v>512</v>
      </c>
      <c r="E386" s="2" t="s">
        <v>534</v>
      </c>
      <c r="F386" s="2">
        <v>1</v>
      </c>
      <c r="G386" s="2">
        <v>445.6</v>
      </c>
      <c r="H386" s="2">
        <v>445.6</v>
      </c>
      <c r="I386" s="2">
        <v>44.56</v>
      </c>
      <c r="J386" s="2">
        <v>490.16</v>
      </c>
      <c r="K386">
        <f t="shared" si="15"/>
        <v>445.6</v>
      </c>
      <c r="M386" t="str">
        <f t="shared" si="16"/>
        <v>LOW</v>
      </c>
      <c r="N386" t="str">
        <f t="shared" si="17"/>
        <v>LOW</v>
      </c>
    </row>
    <row r="387" spans="1:14" x14ac:dyDescent="0.35">
      <c r="A387" s="2">
        <v>241</v>
      </c>
      <c r="B387" s="3">
        <v>45352</v>
      </c>
      <c r="C387" s="2" t="s">
        <v>250</v>
      </c>
      <c r="D387" s="2" t="s">
        <v>529</v>
      </c>
      <c r="E387" s="2" t="s">
        <v>535</v>
      </c>
      <c r="F387" s="2">
        <v>2</v>
      </c>
      <c r="G387" s="2">
        <v>222.41</v>
      </c>
      <c r="H387" s="2">
        <v>444.82</v>
      </c>
      <c r="I387" s="2">
        <v>44.48</v>
      </c>
      <c r="J387" s="2">
        <v>489.3</v>
      </c>
      <c r="K387">
        <f t="shared" ref="K387:K450" si="18">F387*G387</f>
        <v>444.82</v>
      </c>
      <c r="M387" t="str">
        <f t="shared" ref="M387:M450" si="19">IF(H387&gt;2500,"HIGH","LOW")</f>
        <v>LOW</v>
      </c>
      <c r="N387" t="str">
        <f t="shared" ref="N387:N450" si="20">IF(H387&gt;2500,"HIGH",IF(H387&lt;1000,"LOW","MEDIUM"))</f>
        <v>LOW</v>
      </c>
    </row>
    <row r="388" spans="1:14" ht="29" x14ac:dyDescent="0.35">
      <c r="A388" s="2">
        <v>391</v>
      </c>
      <c r="B388" s="3">
        <v>45576</v>
      </c>
      <c r="C388" s="2" t="s">
        <v>398</v>
      </c>
      <c r="D388" s="2" t="s">
        <v>529</v>
      </c>
      <c r="E388" s="2" t="s">
        <v>535</v>
      </c>
      <c r="F388" s="2">
        <v>1</v>
      </c>
      <c r="G388" s="2">
        <v>437.89</v>
      </c>
      <c r="H388" s="2">
        <v>437.89</v>
      </c>
      <c r="I388" s="2">
        <v>43.79</v>
      </c>
      <c r="J388" s="2">
        <v>481.68</v>
      </c>
      <c r="K388">
        <f t="shared" si="18"/>
        <v>437.89</v>
      </c>
      <c r="M388" t="str">
        <f t="shared" si="19"/>
        <v>LOW</v>
      </c>
      <c r="N388" t="str">
        <f t="shared" si="20"/>
        <v>LOW</v>
      </c>
    </row>
    <row r="389" spans="1:14" x14ac:dyDescent="0.35">
      <c r="A389" s="2">
        <v>199</v>
      </c>
      <c r="B389" s="3">
        <v>45546</v>
      </c>
      <c r="C389" s="2" t="s">
        <v>208</v>
      </c>
      <c r="D389" s="2" t="s">
        <v>532</v>
      </c>
      <c r="E389" s="2" t="s">
        <v>537</v>
      </c>
      <c r="F389" s="2">
        <v>9</v>
      </c>
      <c r="G389" s="2">
        <v>47.71</v>
      </c>
      <c r="H389" s="2">
        <v>429.39</v>
      </c>
      <c r="I389" s="2">
        <v>42.94</v>
      </c>
      <c r="J389" s="2">
        <v>472.33</v>
      </c>
      <c r="K389">
        <f t="shared" si="18"/>
        <v>429.39</v>
      </c>
      <c r="M389" t="str">
        <f t="shared" si="19"/>
        <v>LOW</v>
      </c>
      <c r="N389" t="str">
        <f t="shared" si="20"/>
        <v>LOW</v>
      </c>
    </row>
    <row r="390" spans="1:14" x14ac:dyDescent="0.35">
      <c r="A390" s="2">
        <v>161</v>
      </c>
      <c r="B390" s="3">
        <v>45420</v>
      </c>
      <c r="C390" s="2" t="s">
        <v>170</v>
      </c>
      <c r="D390" s="2" t="s">
        <v>509</v>
      </c>
      <c r="E390" s="2" t="s">
        <v>534</v>
      </c>
      <c r="F390" s="2">
        <v>1</v>
      </c>
      <c r="G390" s="2">
        <v>428.59</v>
      </c>
      <c r="H390" s="2">
        <v>428.59</v>
      </c>
      <c r="I390" s="2">
        <v>42.86</v>
      </c>
      <c r="J390" s="2">
        <v>471.45</v>
      </c>
      <c r="K390">
        <f t="shared" si="18"/>
        <v>428.59</v>
      </c>
      <c r="M390" t="str">
        <f t="shared" si="19"/>
        <v>LOW</v>
      </c>
      <c r="N390" t="str">
        <f t="shared" si="20"/>
        <v>LOW</v>
      </c>
    </row>
    <row r="391" spans="1:14" x14ac:dyDescent="0.35">
      <c r="A391" s="2">
        <v>223</v>
      </c>
      <c r="B391" s="3">
        <v>45610</v>
      </c>
      <c r="C391" s="2" t="s">
        <v>232</v>
      </c>
      <c r="D391" s="2" t="s">
        <v>532</v>
      </c>
      <c r="E391" s="2" t="s">
        <v>537</v>
      </c>
      <c r="F391" s="2">
        <v>9</v>
      </c>
      <c r="G391" s="2">
        <v>47.56</v>
      </c>
      <c r="H391" s="2">
        <v>428.04</v>
      </c>
      <c r="I391" s="2">
        <v>42.8</v>
      </c>
      <c r="J391" s="2">
        <v>470.84</v>
      </c>
      <c r="K391">
        <f t="shared" si="18"/>
        <v>428.04</v>
      </c>
      <c r="M391" t="str">
        <f t="shared" si="19"/>
        <v>LOW</v>
      </c>
      <c r="N391" t="str">
        <f t="shared" si="20"/>
        <v>LOW</v>
      </c>
    </row>
    <row r="392" spans="1:14" x14ac:dyDescent="0.35">
      <c r="A392" s="2">
        <v>414</v>
      </c>
      <c r="B392" s="3">
        <v>45645</v>
      </c>
      <c r="C392" s="2" t="s">
        <v>421</v>
      </c>
      <c r="D392" s="2" t="s">
        <v>532</v>
      </c>
      <c r="E392" s="2" t="s">
        <v>537</v>
      </c>
      <c r="F392" s="2">
        <v>1</v>
      </c>
      <c r="G392" s="2">
        <v>427.45</v>
      </c>
      <c r="H392" s="2">
        <v>427.45</v>
      </c>
      <c r="I392" s="2">
        <v>42.75</v>
      </c>
      <c r="J392" s="2">
        <v>470.2</v>
      </c>
      <c r="K392">
        <f t="shared" si="18"/>
        <v>427.45</v>
      </c>
      <c r="M392" t="str">
        <f t="shared" si="19"/>
        <v>LOW</v>
      </c>
      <c r="N392" t="str">
        <f t="shared" si="20"/>
        <v>LOW</v>
      </c>
    </row>
    <row r="393" spans="1:14" x14ac:dyDescent="0.35">
      <c r="A393" s="2">
        <v>361</v>
      </c>
      <c r="B393" s="3">
        <v>45590</v>
      </c>
      <c r="C393" s="2" t="s">
        <v>368</v>
      </c>
      <c r="D393" s="2" t="s">
        <v>513</v>
      </c>
      <c r="E393" s="2" t="s">
        <v>535</v>
      </c>
      <c r="F393" s="2">
        <v>1</v>
      </c>
      <c r="G393" s="2">
        <v>421.42</v>
      </c>
      <c r="H393" s="2">
        <v>421.42</v>
      </c>
      <c r="I393" s="2">
        <v>42.14</v>
      </c>
      <c r="J393" s="2">
        <v>463.56</v>
      </c>
      <c r="K393">
        <f t="shared" si="18"/>
        <v>421.42</v>
      </c>
      <c r="M393" t="str">
        <f t="shared" si="19"/>
        <v>LOW</v>
      </c>
      <c r="N393" t="str">
        <f t="shared" si="20"/>
        <v>LOW</v>
      </c>
    </row>
    <row r="394" spans="1:14" x14ac:dyDescent="0.35">
      <c r="A394" s="2">
        <v>133</v>
      </c>
      <c r="B394" s="3">
        <v>45646</v>
      </c>
      <c r="C394" s="2" t="s">
        <v>142</v>
      </c>
      <c r="D394" s="2" t="s">
        <v>526</v>
      </c>
      <c r="E394" s="2" t="s">
        <v>537</v>
      </c>
      <c r="F394" s="2">
        <v>2</v>
      </c>
      <c r="G394" s="2">
        <v>209.59</v>
      </c>
      <c r="H394" s="2">
        <v>419.18</v>
      </c>
      <c r="I394" s="2">
        <v>41.92</v>
      </c>
      <c r="J394" s="2">
        <v>461.1</v>
      </c>
      <c r="K394">
        <f t="shared" si="18"/>
        <v>419.18</v>
      </c>
      <c r="M394" t="str">
        <f t="shared" si="19"/>
        <v>LOW</v>
      </c>
      <c r="N394" t="str">
        <f t="shared" si="20"/>
        <v>LOW</v>
      </c>
    </row>
    <row r="395" spans="1:14" ht="29" x14ac:dyDescent="0.35">
      <c r="A395" s="2">
        <v>46</v>
      </c>
      <c r="B395" s="3">
        <v>45345</v>
      </c>
      <c r="C395" s="2" t="s">
        <v>55</v>
      </c>
      <c r="D395" s="2" t="s">
        <v>511</v>
      </c>
      <c r="E395" s="2" t="s">
        <v>535</v>
      </c>
      <c r="F395" s="2">
        <v>1</v>
      </c>
      <c r="G395" s="2">
        <v>413.9</v>
      </c>
      <c r="H395" s="2">
        <v>413.9</v>
      </c>
      <c r="I395" s="2">
        <v>41.39</v>
      </c>
      <c r="J395" s="2">
        <v>455.29</v>
      </c>
      <c r="K395">
        <f t="shared" si="18"/>
        <v>413.9</v>
      </c>
      <c r="M395" t="str">
        <f t="shared" si="19"/>
        <v>LOW</v>
      </c>
      <c r="N395" t="str">
        <f t="shared" si="20"/>
        <v>LOW</v>
      </c>
    </row>
    <row r="396" spans="1:14" x14ac:dyDescent="0.35">
      <c r="A396" s="2">
        <v>22</v>
      </c>
      <c r="B396" s="3">
        <v>45359</v>
      </c>
      <c r="C396" s="2" t="s">
        <v>31</v>
      </c>
      <c r="D396" s="2" t="s">
        <v>520</v>
      </c>
      <c r="E396" s="2" t="s">
        <v>536</v>
      </c>
      <c r="F396" s="2">
        <v>4</v>
      </c>
      <c r="G396" s="2">
        <v>100.91</v>
      </c>
      <c r="H396" s="2">
        <v>403.64</v>
      </c>
      <c r="I396" s="2">
        <v>40.36</v>
      </c>
      <c r="J396" s="2">
        <v>444</v>
      </c>
      <c r="K396">
        <f t="shared" si="18"/>
        <v>403.64</v>
      </c>
      <c r="M396" t="str">
        <f t="shared" si="19"/>
        <v>LOW</v>
      </c>
      <c r="N396" t="str">
        <f t="shared" si="20"/>
        <v>LOW</v>
      </c>
    </row>
    <row r="397" spans="1:14" x14ac:dyDescent="0.35">
      <c r="A397" s="2">
        <v>124</v>
      </c>
      <c r="B397" s="3">
        <v>45550</v>
      </c>
      <c r="C397" s="2" t="s">
        <v>133</v>
      </c>
      <c r="D397" s="2" t="s">
        <v>518</v>
      </c>
      <c r="E397" s="2" t="s">
        <v>533</v>
      </c>
      <c r="F397" s="2">
        <v>2</v>
      </c>
      <c r="G397" s="2">
        <v>201.65</v>
      </c>
      <c r="H397" s="2">
        <v>403.3</v>
      </c>
      <c r="I397" s="2">
        <v>40.33</v>
      </c>
      <c r="J397" s="2">
        <v>443.63</v>
      </c>
      <c r="K397">
        <f t="shared" si="18"/>
        <v>403.3</v>
      </c>
      <c r="M397" t="str">
        <f t="shared" si="19"/>
        <v>LOW</v>
      </c>
      <c r="N397" t="str">
        <f t="shared" si="20"/>
        <v>LOW</v>
      </c>
    </row>
    <row r="398" spans="1:14" x14ac:dyDescent="0.35">
      <c r="A398" s="2">
        <v>311</v>
      </c>
      <c r="B398" s="3">
        <v>45622</v>
      </c>
      <c r="C398" s="2" t="s">
        <v>318</v>
      </c>
      <c r="D398" s="2" t="s">
        <v>520</v>
      </c>
      <c r="E398" s="2" t="s">
        <v>536</v>
      </c>
      <c r="F398" s="2">
        <v>10</v>
      </c>
      <c r="G398" s="2">
        <v>40.049999999999997</v>
      </c>
      <c r="H398" s="2">
        <v>400.5</v>
      </c>
      <c r="I398" s="2">
        <v>40.049999999999997</v>
      </c>
      <c r="J398" s="2">
        <v>440.55</v>
      </c>
      <c r="K398">
        <f t="shared" si="18"/>
        <v>400.5</v>
      </c>
      <c r="M398" t="str">
        <f t="shared" si="19"/>
        <v>LOW</v>
      </c>
      <c r="N398" t="str">
        <f t="shared" si="20"/>
        <v>LOW</v>
      </c>
    </row>
    <row r="399" spans="1:14" ht="29" x14ac:dyDescent="0.35">
      <c r="A399" s="2">
        <v>76</v>
      </c>
      <c r="B399" s="3">
        <v>45336</v>
      </c>
      <c r="C399" s="2" t="s">
        <v>85</v>
      </c>
      <c r="D399" s="2" t="s">
        <v>510</v>
      </c>
      <c r="E399" s="2" t="s">
        <v>533</v>
      </c>
      <c r="F399" s="2">
        <v>1</v>
      </c>
      <c r="G399" s="2">
        <v>394.26</v>
      </c>
      <c r="H399" s="2">
        <v>394.26</v>
      </c>
      <c r="I399" s="2">
        <v>39.43</v>
      </c>
      <c r="J399" s="2">
        <v>433.69</v>
      </c>
      <c r="K399">
        <f t="shared" si="18"/>
        <v>394.26</v>
      </c>
      <c r="M399" t="str">
        <f t="shared" si="19"/>
        <v>LOW</v>
      </c>
      <c r="N399" t="str">
        <f t="shared" si="20"/>
        <v>LOW</v>
      </c>
    </row>
    <row r="400" spans="1:14" x14ac:dyDescent="0.35">
      <c r="A400" s="2">
        <v>491</v>
      </c>
      <c r="B400" s="3">
        <v>45410</v>
      </c>
      <c r="C400" s="2" t="s">
        <v>498</v>
      </c>
      <c r="D400" s="2" t="s">
        <v>510</v>
      </c>
      <c r="E400" s="2" t="s">
        <v>533</v>
      </c>
      <c r="F400" s="2">
        <v>1</v>
      </c>
      <c r="G400" s="2">
        <v>392.86</v>
      </c>
      <c r="H400" s="2">
        <v>392.86</v>
      </c>
      <c r="I400" s="2">
        <v>39.29</v>
      </c>
      <c r="J400" s="2">
        <v>432.15</v>
      </c>
      <c r="K400">
        <f t="shared" si="18"/>
        <v>392.86</v>
      </c>
      <c r="M400" t="str">
        <f t="shared" si="19"/>
        <v>LOW</v>
      </c>
      <c r="N400" t="str">
        <f t="shared" si="20"/>
        <v>LOW</v>
      </c>
    </row>
    <row r="401" spans="1:14" x14ac:dyDescent="0.35">
      <c r="A401" s="2">
        <v>368</v>
      </c>
      <c r="B401" s="3">
        <v>45503</v>
      </c>
      <c r="C401" s="2" t="s">
        <v>375</v>
      </c>
      <c r="D401" s="2" t="s">
        <v>529</v>
      </c>
      <c r="E401" s="2" t="s">
        <v>535</v>
      </c>
      <c r="F401" s="2">
        <v>2</v>
      </c>
      <c r="G401" s="2">
        <v>196.41</v>
      </c>
      <c r="H401" s="2">
        <v>392.82</v>
      </c>
      <c r="I401" s="2">
        <v>39.28</v>
      </c>
      <c r="J401" s="2">
        <v>432.1</v>
      </c>
      <c r="K401">
        <f t="shared" si="18"/>
        <v>392.82</v>
      </c>
      <c r="M401" t="str">
        <f t="shared" si="19"/>
        <v>LOW</v>
      </c>
      <c r="N401" t="str">
        <f t="shared" si="20"/>
        <v>LOW</v>
      </c>
    </row>
    <row r="402" spans="1:14" x14ac:dyDescent="0.35">
      <c r="A402" s="2">
        <v>84</v>
      </c>
      <c r="B402" s="3">
        <v>45392</v>
      </c>
      <c r="C402" s="2" t="s">
        <v>93</v>
      </c>
      <c r="D402" s="2" t="s">
        <v>526</v>
      </c>
      <c r="E402" s="2" t="s">
        <v>537</v>
      </c>
      <c r="F402" s="2">
        <v>1</v>
      </c>
      <c r="G402" s="2">
        <v>392.74</v>
      </c>
      <c r="H402" s="2">
        <v>392.74</v>
      </c>
      <c r="I402" s="2">
        <v>39.270000000000003</v>
      </c>
      <c r="J402" s="2">
        <v>432.01</v>
      </c>
      <c r="K402">
        <f t="shared" si="18"/>
        <v>392.74</v>
      </c>
      <c r="M402" t="str">
        <f t="shared" si="19"/>
        <v>LOW</v>
      </c>
      <c r="N402" t="str">
        <f t="shared" si="20"/>
        <v>LOW</v>
      </c>
    </row>
    <row r="403" spans="1:14" x14ac:dyDescent="0.35">
      <c r="A403" s="2">
        <v>397</v>
      </c>
      <c r="B403" s="3">
        <v>45424</v>
      </c>
      <c r="C403" s="2" t="s">
        <v>404</v>
      </c>
      <c r="D403" s="2" t="s">
        <v>516</v>
      </c>
      <c r="E403" s="2" t="s">
        <v>535</v>
      </c>
      <c r="F403" s="2">
        <v>1</v>
      </c>
      <c r="G403" s="2">
        <v>392.63</v>
      </c>
      <c r="H403" s="2">
        <v>392.63</v>
      </c>
      <c r="I403" s="2">
        <v>39.26</v>
      </c>
      <c r="J403" s="2">
        <v>431.89</v>
      </c>
      <c r="K403">
        <f t="shared" si="18"/>
        <v>392.63</v>
      </c>
      <c r="M403" t="str">
        <f t="shared" si="19"/>
        <v>LOW</v>
      </c>
      <c r="N403" t="str">
        <f t="shared" si="20"/>
        <v>LOW</v>
      </c>
    </row>
    <row r="404" spans="1:14" x14ac:dyDescent="0.35">
      <c r="A404" s="2">
        <v>105</v>
      </c>
      <c r="B404" s="3">
        <v>45396</v>
      </c>
      <c r="C404" s="2" t="s">
        <v>114</v>
      </c>
      <c r="D404" s="2" t="s">
        <v>529</v>
      </c>
      <c r="E404" s="2" t="s">
        <v>535</v>
      </c>
      <c r="F404" s="2">
        <v>2</v>
      </c>
      <c r="G404" s="2">
        <v>195.24</v>
      </c>
      <c r="H404" s="2">
        <v>390.48</v>
      </c>
      <c r="I404" s="2">
        <v>39.049999999999997</v>
      </c>
      <c r="J404" s="2">
        <v>429.53</v>
      </c>
      <c r="K404">
        <f t="shared" si="18"/>
        <v>390.48</v>
      </c>
      <c r="M404" t="str">
        <f t="shared" si="19"/>
        <v>LOW</v>
      </c>
      <c r="N404" t="str">
        <f t="shared" si="20"/>
        <v>LOW</v>
      </c>
    </row>
    <row r="405" spans="1:14" x14ac:dyDescent="0.35">
      <c r="A405" s="2">
        <v>132</v>
      </c>
      <c r="B405" s="3">
        <v>45589</v>
      </c>
      <c r="C405" s="2" t="s">
        <v>141</v>
      </c>
      <c r="D405" s="2" t="s">
        <v>512</v>
      </c>
      <c r="E405" s="2" t="s">
        <v>534</v>
      </c>
      <c r="F405" s="2">
        <v>4</v>
      </c>
      <c r="G405" s="2">
        <v>96.55</v>
      </c>
      <c r="H405" s="2">
        <v>386.2</v>
      </c>
      <c r="I405" s="2">
        <v>38.619999999999997</v>
      </c>
      <c r="J405" s="2">
        <v>424.82</v>
      </c>
      <c r="K405">
        <f t="shared" si="18"/>
        <v>386.2</v>
      </c>
      <c r="M405" t="str">
        <f t="shared" si="19"/>
        <v>LOW</v>
      </c>
      <c r="N405" t="str">
        <f t="shared" si="20"/>
        <v>LOW</v>
      </c>
    </row>
    <row r="406" spans="1:14" x14ac:dyDescent="0.35">
      <c r="A406" s="2">
        <v>272</v>
      </c>
      <c r="B406" s="3">
        <v>45421</v>
      </c>
      <c r="C406" s="2" t="s">
        <v>279</v>
      </c>
      <c r="D406" s="2" t="s">
        <v>529</v>
      </c>
      <c r="E406" s="2" t="s">
        <v>535</v>
      </c>
      <c r="F406" s="2">
        <v>1</v>
      </c>
      <c r="G406" s="2">
        <v>383.22</v>
      </c>
      <c r="H406" s="2">
        <v>383.22</v>
      </c>
      <c r="I406" s="2">
        <v>38.32</v>
      </c>
      <c r="J406" s="2">
        <v>421.54</v>
      </c>
      <c r="K406">
        <f t="shared" si="18"/>
        <v>383.22</v>
      </c>
      <c r="M406" t="str">
        <f t="shared" si="19"/>
        <v>LOW</v>
      </c>
      <c r="N406" t="str">
        <f t="shared" si="20"/>
        <v>LOW</v>
      </c>
    </row>
    <row r="407" spans="1:14" ht="29" x14ac:dyDescent="0.35">
      <c r="A407" s="2">
        <v>51</v>
      </c>
      <c r="B407" s="3">
        <v>45497</v>
      </c>
      <c r="C407" s="2" t="s">
        <v>60</v>
      </c>
      <c r="D407" s="2" t="s">
        <v>528</v>
      </c>
      <c r="E407" s="2" t="s">
        <v>536</v>
      </c>
      <c r="F407" s="2">
        <v>10</v>
      </c>
      <c r="G407" s="2">
        <v>38.28</v>
      </c>
      <c r="H407" s="2">
        <v>382.8</v>
      </c>
      <c r="I407" s="2">
        <v>38.28</v>
      </c>
      <c r="J407" s="2">
        <v>421.08</v>
      </c>
      <c r="K407">
        <f t="shared" si="18"/>
        <v>382.8</v>
      </c>
      <c r="M407" t="str">
        <f t="shared" si="19"/>
        <v>LOW</v>
      </c>
      <c r="N407" t="str">
        <f t="shared" si="20"/>
        <v>LOW</v>
      </c>
    </row>
    <row r="408" spans="1:14" x14ac:dyDescent="0.35">
      <c r="A408" s="2">
        <v>78</v>
      </c>
      <c r="B408" s="3">
        <v>45484</v>
      </c>
      <c r="C408" s="2" t="s">
        <v>87</v>
      </c>
      <c r="D408" s="2" t="s">
        <v>509</v>
      </c>
      <c r="E408" s="2" t="s">
        <v>534</v>
      </c>
      <c r="F408" s="2">
        <v>2</v>
      </c>
      <c r="G408" s="2">
        <v>190.5</v>
      </c>
      <c r="H408" s="2">
        <v>381</v>
      </c>
      <c r="I408" s="2">
        <v>38.1</v>
      </c>
      <c r="J408" s="2">
        <v>419.1</v>
      </c>
      <c r="K408">
        <f t="shared" si="18"/>
        <v>381</v>
      </c>
      <c r="M408" t="str">
        <f t="shared" si="19"/>
        <v>LOW</v>
      </c>
      <c r="N408" t="str">
        <f t="shared" si="20"/>
        <v>LOW</v>
      </c>
    </row>
    <row r="409" spans="1:14" x14ac:dyDescent="0.35">
      <c r="A409" s="2">
        <v>177</v>
      </c>
      <c r="B409" s="3">
        <v>45622</v>
      </c>
      <c r="C409" s="2" t="s">
        <v>186</v>
      </c>
      <c r="D409" s="2" t="s">
        <v>519</v>
      </c>
      <c r="E409" s="2" t="s">
        <v>537</v>
      </c>
      <c r="F409" s="2">
        <v>1</v>
      </c>
      <c r="G409" s="2">
        <v>374.54</v>
      </c>
      <c r="H409" s="2">
        <v>374.54</v>
      </c>
      <c r="I409" s="2">
        <v>37.450000000000003</v>
      </c>
      <c r="J409" s="2">
        <v>411.99</v>
      </c>
      <c r="K409">
        <f t="shared" si="18"/>
        <v>374.54</v>
      </c>
      <c r="M409" t="str">
        <f t="shared" si="19"/>
        <v>LOW</v>
      </c>
      <c r="N409" t="str">
        <f t="shared" si="20"/>
        <v>LOW</v>
      </c>
    </row>
    <row r="410" spans="1:14" ht="29" x14ac:dyDescent="0.35">
      <c r="A410" s="2">
        <v>97</v>
      </c>
      <c r="B410" s="3">
        <v>45501</v>
      </c>
      <c r="C410" s="2" t="s">
        <v>106</v>
      </c>
      <c r="D410" s="2" t="s">
        <v>524</v>
      </c>
      <c r="E410" s="2" t="s">
        <v>534</v>
      </c>
      <c r="F410" s="2">
        <v>5</v>
      </c>
      <c r="G410" s="2">
        <v>72.44</v>
      </c>
      <c r="H410" s="2">
        <v>362.2</v>
      </c>
      <c r="I410" s="2">
        <v>36.22</v>
      </c>
      <c r="J410" s="2">
        <v>398.42</v>
      </c>
      <c r="K410">
        <f t="shared" si="18"/>
        <v>362.2</v>
      </c>
      <c r="M410" t="str">
        <f t="shared" si="19"/>
        <v>LOW</v>
      </c>
      <c r="N410" t="str">
        <f t="shared" si="20"/>
        <v>LOW</v>
      </c>
    </row>
    <row r="411" spans="1:14" x14ac:dyDescent="0.35">
      <c r="A411" s="2">
        <v>400</v>
      </c>
      <c r="B411" s="3">
        <v>45365</v>
      </c>
      <c r="C411" s="2" t="s">
        <v>407</v>
      </c>
      <c r="D411" s="2" t="s">
        <v>531</v>
      </c>
      <c r="E411" s="2" t="s">
        <v>533</v>
      </c>
      <c r="F411" s="2">
        <v>10</v>
      </c>
      <c r="G411" s="2">
        <v>36.22</v>
      </c>
      <c r="H411" s="2">
        <v>362.2</v>
      </c>
      <c r="I411" s="2">
        <v>36.22</v>
      </c>
      <c r="J411" s="2">
        <v>398.42</v>
      </c>
      <c r="K411">
        <f t="shared" si="18"/>
        <v>362.2</v>
      </c>
      <c r="M411" t="str">
        <f t="shared" si="19"/>
        <v>LOW</v>
      </c>
      <c r="N411" t="str">
        <f t="shared" si="20"/>
        <v>LOW</v>
      </c>
    </row>
    <row r="412" spans="1:14" ht="29" x14ac:dyDescent="0.35">
      <c r="A412" s="2">
        <v>335</v>
      </c>
      <c r="B412" s="3">
        <v>45583</v>
      </c>
      <c r="C412" s="2" t="s">
        <v>342</v>
      </c>
      <c r="D412" s="2" t="s">
        <v>523</v>
      </c>
      <c r="E412" s="2" t="s">
        <v>534</v>
      </c>
      <c r="F412" s="2">
        <v>5</v>
      </c>
      <c r="G412" s="2">
        <v>72.39</v>
      </c>
      <c r="H412" s="2">
        <v>361.95</v>
      </c>
      <c r="I412" s="2">
        <v>36.200000000000003</v>
      </c>
      <c r="J412" s="2">
        <v>398.15</v>
      </c>
      <c r="K412">
        <f t="shared" si="18"/>
        <v>361.95</v>
      </c>
      <c r="M412" t="str">
        <f t="shared" si="19"/>
        <v>LOW</v>
      </c>
      <c r="N412" t="str">
        <f t="shared" si="20"/>
        <v>LOW</v>
      </c>
    </row>
    <row r="413" spans="1:14" ht="29" x14ac:dyDescent="0.35">
      <c r="A413" s="2">
        <v>98</v>
      </c>
      <c r="B413" s="3">
        <v>45680</v>
      </c>
      <c r="C413" s="2" t="s">
        <v>107</v>
      </c>
      <c r="D413" s="2" t="s">
        <v>515</v>
      </c>
      <c r="E413" s="2" t="s">
        <v>536</v>
      </c>
      <c r="F413" s="2">
        <v>2</v>
      </c>
      <c r="G413" s="2">
        <v>180.81</v>
      </c>
      <c r="H413" s="2">
        <v>361.62</v>
      </c>
      <c r="I413" s="2">
        <v>36.159999999999997</v>
      </c>
      <c r="J413" s="2">
        <v>397.78</v>
      </c>
      <c r="K413">
        <f t="shared" si="18"/>
        <v>361.62</v>
      </c>
      <c r="M413" t="str">
        <f t="shared" si="19"/>
        <v>LOW</v>
      </c>
      <c r="N413" t="str">
        <f t="shared" si="20"/>
        <v>LOW</v>
      </c>
    </row>
    <row r="414" spans="1:14" x14ac:dyDescent="0.35">
      <c r="A414" s="2">
        <v>242</v>
      </c>
      <c r="B414" s="3">
        <v>45588</v>
      </c>
      <c r="C414" s="2" t="s">
        <v>251</v>
      </c>
      <c r="D414" s="2" t="s">
        <v>508</v>
      </c>
      <c r="E414" s="2" t="s">
        <v>533</v>
      </c>
      <c r="F414" s="2">
        <v>8</v>
      </c>
      <c r="G414" s="2">
        <v>44.03</v>
      </c>
      <c r="H414" s="2">
        <v>352.24</v>
      </c>
      <c r="I414" s="2">
        <v>35.22</v>
      </c>
      <c r="J414" s="2">
        <v>387.46</v>
      </c>
      <c r="K414">
        <f t="shared" si="18"/>
        <v>352.24</v>
      </c>
      <c r="M414" t="str">
        <f t="shared" si="19"/>
        <v>LOW</v>
      </c>
      <c r="N414" t="str">
        <f t="shared" si="20"/>
        <v>LOW</v>
      </c>
    </row>
    <row r="415" spans="1:14" ht="29" x14ac:dyDescent="0.35">
      <c r="A415" s="2">
        <v>193</v>
      </c>
      <c r="B415" s="3">
        <v>45505</v>
      </c>
      <c r="C415" s="2" t="s">
        <v>202</v>
      </c>
      <c r="D415" s="2" t="s">
        <v>517</v>
      </c>
      <c r="E415" s="2" t="s">
        <v>537</v>
      </c>
      <c r="F415" s="2">
        <v>2</v>
      </c>
      <c r="G415" s="2">
        <v>174.22</v>
      </c>
      <c r="H415" s="2">
        <v>348.44</v>
      </c>
      <c r="I415" s="2">
        <v>34.840000000000003</v>
      </c>
      <c r="J415" s="2">
        <v>383.28</v>
      </c>
      <c r="K415">
        <f t="shared" si="18"/>
        <v>348.44</v>
      </c>
      <c r="M415" t="str">
        <f t="shared" si="19"/>
        <v>LOW</v>
      </c>
      <c r="N415" t="str">
        <f t="shared" si="20"/>
        <v>LOW</v>
      </c>
    </row>
    <row r="416" spans="1:14" x14ac:dyDescent="0.35">
      <c r="A416" s="2">
        <v>323</v>
      </c>
      <c r="B416" s="3">
        <v>45437</v>
      </c>
      <c r="C416" s="2" t="s">
        <v>330</v>
      </c>
      <c r="D416" s="2" t="s">
        <v>525</v>
      </c>
      <c r="E416" s="2" t="s">
        <v>535</v>
      </c>
      <c r="F416" s="2">
        <v>7</v>
      </c>
      <c r="G416" s="2">
        <v>49.34</v>
      </c>
      <c r="H416" s="2">
        <v>345.38</v>
      </c>
      <c r="I416" s="2">
        <v>34.54</v>
      </c>
      <c r="J416" s="2">
        <v>379.92</v>
      </c>
      <c r="K416">
        <f t="shared" si="18"/>
        <v>345.38</v>
      </c>
      <c r="M416" t="str">
        <f t="shared" si="19"/>
        <v>LOW</v>
      </c>
      <c r="N416" t="str">
        <f t="shared" si="20"/>
        <v>LOW</v>
      </c>
    </row>
    <row r="417" spans="1:14" ht="29" x14ac:dyDescent="0.35">
      <c r="A417" s="2">
        <v>216</v>
      </c>
      <c r="B417" s="3">
        <v>45358</v>
      </c>
      <c r="C417" s="2" t="s">
        <v>225</v>
      </c>
      <c r="D417" s="2" t="s">
        <v>530</v>
      </c>
      <c r="E417" s="2" t="s">
        <v>537</v>
      </c>
      <c r="F417" s="2">
        <v>4</v>
      </c>
      <c r="G417" s="2">
        <v>86.18</v>
      </c>
      <c r="H417" s="2">
        <v>344.72</v>
      </c>
      <c r="I417" s="2">
        <v>34.47</v>
      </c>
      <c r="J417" s="2">
        <v>379.19</v>
      </c>
      <c r="K417">
        <f t="shared" si="18"/>
        <v>344.72</v>
      </c>
      <c r="M417" t="str">
        <f t="shared" si="19"/>
        <v>LOW</v>
      </c>
      <c r="N417" t="str">
        <f t="shared" si="20"/>
        <v>LOW</v>
      </c>
    </row>
    <row r="418" spans="1:14" x14ac:dyDescent="0.35">
      <c r="A418" s="2">
        <v>120</v>
      </c>
      <c r="B418" s="3">
        <v>45572</v>
      </c>
      <c r="C418" s="2" t="s">
        <v>129</v>
      </c>
      <c r="D418" s="2" t="s">
        <v>509</v>
      </c>
      <c r="E418" s="2" t="s">
        <v>534</v>
      </c>
      <c r="F418" s="2">
        <v>4</v>
      </c>
      <c r="G418" s="2">
        <v>84.82</v>
      </c>
      <c r="H418" s="2">
        <v>339.28</v>
      </c>
      <c r="I418" s="2">
        <v>33.93</v>
      </c>
      <c r="J418" s="2">
        <v>373.21</v>
      </c>
      <c r="K418">
        <f t="shared" si="18"/>
        <v>339.28</v>
      </c>
      <c r="M418" t="str">
        <f t="shared" si="19"/>
        <v>LOW</v>
      </c>
      <c r="N418" t="str">
        <f t="shared" si="20"/>
        <v>LOW</v>
      </c>
    </row>
    <row r="419" spans="1:14" ht="29" x14ac:dyDescent="0.35">
      <c r="A419" s="2">
        <v>314</v>
      </c>
      <c r="B419" s="3">
        <v>45564</v>
      </c>
      <c r="C419" s="2" t="s">
        <v>321</v>
      </c>
      <c r="D419" s="2" t="s">
        <v>512</v>
      </c>
      <c r="E419" s="2" t="s">
        <v>534</v>
      </c>
      <c r="F419" s="2">
        <v>6</v>
      </c>
      <c r="G419" s="2">
        <v>55.89</v>
      </c>
      <c r="H419" s="2">
        <v>335.34</v>
      </c>
      <c r="I419" s="2">
        <v>33.53</v>
      </c>
      <c r="J419" s="2">
        <v>368.87</v>
      </c>
      <c r="K419">
        <f t="shared" si="18"/>
        <v>335.34000000000003</v>
      </c>
      <c r="M419" t="str">
        <f t="shared" si="19"/>
        <v>LOW</v>
      </c>
      <c r="N419" t="str">
        <f t="shared" si="20"/>
        <v>LOW</v>
      </c>
    </row>
    <row r="420" spans="1:14" ht="29" x14ac:dyDescent="0.35">
      <c r="A420" s="2">
        <v>499</v>
      </c>
      <c r="B420" s="3">
        <v>45503</v>
      </c>
      <c r="C420" s="2" t="s">
        <v>506</v>
      </c>
      <c r="D420" s="2" t="s">
        <v>515</v>
      </c>
      <c r="E420" s="2" t="s">
        <v>536</v>
      </c>
      <c r="F420" s="2">
        <v>3</v>
      </c>
      <c r="G420" s="2">
        <v>111.7</v>
      </c>
      <c r="H420" s="2">
        <v>335.1</v>
      </c>
      <c r="I420" s="2">
        <v>33.51</v>
      </c>
      <c r="J420" s="2">
        <v>368.61</v>
      </c>
      <c r="K420">
        <f t="shared" si="18"/>
        <v>335.1</v>
      </c>
      <c r="M420" t="str">
        <f t="shared" si="19"/>
        <v>LOW</v>
      </c>
      <c r="N420" t="str">
        <f t="shared" si="20"/>
        <v>LOW</v>
      </c>
    </row>
    <row r="421" spans="1:14" x14ac:dyDescent="0.35">
      <c r="A421" s="2">
        <v>181</v>
      </c>
      <c r="B421" s="3">
        <v>45327</v>
      </c>
      <c r="C421" s="2" t="s">
        <v>190</v>
      </c>
      <c r="D421" s="2" t="s">
        <v>520</v>
      </c>
      <c r="E421" s="2" t="s">
        <v>536</v>
      </c>
      <c r="F421" s="2">
        <v>6</v>
      </c>
      <c r="G421" s="2">
        <v>54.5</v>
      </c>
      <c r="H421" s="2">
        <v>327</v>
      </c>
      <c r="I421" s="2">
        <v>32.700000000000003</v>
      </c>
      <c r="J421" s="2">
        <v>359.7</v>
      </c>
      <c r="K421">
        <f t="shared" si="18"/>
        <v>327</v>
      </c>
      <c r="M421" t="str">
        <f t="shared" si="19"/>
        <v>LOW</v>
      </c>
      <c r="N421" t="str">
        <f t="shared" si="20"/>
        <v>LOW</v>
      </c>
    </row>
    <row r="422" spans="1:14" x14ac:dyDescent="0.35">
      <c r="A422" s="2">
        <v>471</v>
      </c>
      <c r="B422" s="3">
        <v>45403</v>
      </c>
      <c r="C422" s="2" t="s">
        <v>478</v>
      </c>
      <c r="D422" s="2" t="s">
        <v>512</v>
      </c>
      <c r="E422" s="2" t="s">
        <v>534</v>
      </c>
      <c r="F422" s="2">
        <v>1</v>
      </c>
      <c r="G422" s="2">
        <v>326.26</v>
      </c>
      <c r="H422" s="2">
        <v>326.26</v>
      </c>
      <c r="I422" s="2">
        <v>32.630000000000003</v>
      </c>
      <c r="J422" s="2">
        <v>358.89</v>
      </c>
      <c r="K422">
        <f t="shared" si="18"/>
        <v>326.26</v>
      </c>
      <c r="M422" t="str">
        <f t="shared" si="19"/>
        <v>LOW</v>
      </c>
      <c r="N422" t="str">
        <f t="shared" si="20"/>
        <v>LOW</v>
      </c>
    </row>
    <row r="423" spans="1:14" x14ac:dyDescent="0.35">
      <c r="A423" s="2">
        <v>103</v>
      </c>
      <c r="B423" s="3">
        <v>45635</v>
      </c>
      <c r="C423" s="2" t="s">
        <v>112</v>
      </c>
      <c r="D423" s="2" t="s">
        <v>521</v>
      </c>
      <c r="E423" s="2" t="s">
        <v>533</v>
      </c>
      <c r="F423" s="2">
        <v>9</v>
      </c>
      <c r="G423" s="2">
        <v>36.11</v>
      </c>
      <c r="H423" s="2">
        <v>324.99</v>
      </c>
      <c r="I423" s="2">
        <v>32.5</v>
      </c>
      <c r="J423" s="2">
        <v>357.49</v>
      </c>
      <c r="K423">
        <f t="shared" si="18"/>
        <v>324.99</v>
      </c>
      <c r="M423" t="str">
        <f t="shared" si="19"/>
        <v>LOW</v>
      </c>
      <c r="N423" t="str">
        <f t="shared" si="20"/>
        <v>LOW</v>
      </c>
    </row>
    <row r="424" spans="1:14" x14ac:dyDescent="0.35">
      <c r="A424" s="2">
        <v>337</v>
      </c>
      <c r="B424" s="3">
        <v>45593</v>
      </c>
      <c r="C424" s="2" t="s">
        <v>344</v>
      </c>
      <c r="D424" s="2" t="s">
        <v>520</v>
      </c>
      <c r="E424" s="2" t="s">
        <v>536</v>
      </c>
      <c r="F424" s="2">
        <v>5</v>
      </c>
      <c r="G424" s="2">
        <v>64.510000000000005</v>
      </c>
      <c r="H424" s="2">
        <v>322.55</v>
      </c>
      <c r="I424" s="2">
        <v>32.26</v>
      </c>
      <c r="J424" s="2">
        <v>354.81</v>
      </c>
      <c r="K424">
        <f t="shared" si="18"/>
        <v>322.55</v>
      </c>
      <c r="M424" t="str">
        <f t="shared" si="19"/>
        <v>LOW</v>
      </c>
      <c r="N424" t="str">
        <f t="shared" si="20"/>
        <v>LOW</v>
      </c>
    </row>
    <row r="425" spans="1:14" x14ac:dyDescent="0.35">
      <c r="A425" s="2">
        <v>20</v>
      </c>
      <c r="B425" s="3">
        <v>45522</v>
      </c>
      <c r="C425" s="2" t="s">
        <v>29</v>
      </c>
      <c r="D425" s="2" t="s">
        <v>508</v>
      </c>
      <c r="E425" s="2" t="s">
        <v>533</v>
      </c>
      <c r="F425" s="2">
        <v>7</v>
      </c>
      <c r="G425" s="2">
        <v>45.9</v>
      </c>
      <c r="H425" s="2">
        <v>321.3</v>
      </c>
      <c r="I425" s="2">
        <v>32.130000000000003</v>
      </c>
      <c r="J425" s="2">
        <v>353.43</v>
      </c>
      <c r="K425">
        <f t="shared" si="18"/>
        <v>321.3</v>
      </c>
      <c r="M425" t="str">
        <f t="shared" si="19"/>
        <v>LOW</v>
      </c>
      <c r="N425" t="str">
        <f t="shared" si="20"/>
        <v>LOW</v>
      </c>
    </row>
    <row r="426" spans="1:14" x14ac:dyDescent="0.35">
      <c r="A426" s="2">
        <v>104</v>
      </c>
      <c r="B426" s="3">
        <v>45646</v>
      </c>
      <c r="C426" s="2" t="s">
        <v>113</v>
      </c>
      <c r="D426" s="2" t="s">
        <v>526</v>
      </c>
      <c r="E426" s="2" t="s">
        <v>537</v>
      </c>
      <c r="F426" s="2">
        <v>6</v>
      </c>
      <c r="G426" s="2">
        <v>53.45</v>
      </c>
      <c r="H426" s="2">
        <v>320.7</v>
      </c>
      <c r="I426" s="2">
        <v>32.07</v>
      </c>
      <c r="J426" s="2">
        <v>352.77</v>
      </c>
      <c r="K426">
        <f t="shared" si="18"/>
        <v>320.70000000000005</v>
      </c>
      <c r="M426" t="str">
        <f t="shared" si="19"/>
        <v>LOW</v>
      </c>
      <c r="N426" t="str">
        <f t="shared" si="20"/>
        <v>LOW</v>
      </c>
    </row>
    <row r="427" spans="1:14" x14ac:dyDescent="0.35">
      <c r="A427" s="2">
        <v>15</v>
      </c>
      <c r="B427" s="3">
        <v>45358</v>
      </c>
      <c r="C427" s="2" t="s">
        <v>24</v>
      </c>
      <c r="D427" s="2" t="s">
        <v>509</v>
      </c>
      <c r="E427" s="2" t="s">
        <v>534</v>
      </c>
      <c r="F427" s="2">
        <v>3</v>
      </c>
      <c r="G427" s="2">
        <v>105.7</v>
      </c>
      <c r="H427" s="2">
        <v>317.10000000000002</v>
      </c>
      <c r="I427" s="2">
        <v>31.71</v>
      </c>
      <c r="J427" s="2">
        <v>348.81</v>
      </c>
      <c r="K427">
        <f t="shared" si="18"/>
        <v>317.10000000000002</v>
      </c>
      <c r="M427" t="str">
        <f t="shared" si="19"/>
        <v>LOW</v>
      </c>
      <c r="N427" t="str">
        <f t="shared" si="20"/>
        <v>LOW</v>
      </c>
    </row>
    <row r="428" spans="1:14" x14ac:dyDescent="0.35">
      <c r="A428" s="2">
        <v>206</v>
      </c>
      <c r="B428" s="3">
        <v>45578</v>
      </c>
      <c r="C428" s="2" t="s">
        <v>215</v>
      </c>
      <c r="D428" s="2" t="s">
        <v>523</v>
      </c>
      <c r="E428" s="2" t="s">
        <v>534</v>
      </c>
      <c r="F428" s="2">
        <v>7</v>
      </c>
      <c r="G428" s="2">
        <v>44.5</v>
      </c>
      <c r="H428" s="2">
        <v>311.5</v>
      </c>
      <c r="I428" s="2">
        <v>31.15</v>
      </c>
      <c r="J428" s="2">
        <v>342.65</v>
      </c>
      <c r="K428">
        <f t="shared" si="18"/>
        <v>311.5</v>
      </c>
      <c r="M428" t="str">
        <f t="shared" si="19"/>
        <v>LOW</v>
      </c>
      <c r="N428" t="str">
        <f t="shared" si="20"/>
        <v>LOW</v>
      </c>
    </row>
    <row r="429" spans="1:14" x14ac:dyDescent="0.35">
      <c r="A429" s="2">
        <v>315</v>
      </c>
      <c r="B429" s="3">
        <v>45554</v>
      </c>
      <c r="C429" s="2" t="s">
        <v>322</v>
      </c>
      <c r="D429" s="2" t="s">
        <v>512</v>
      </c>
      <c r="E429" s="2" t="s">
        <v>534</v>
      </c>
      <c r="F429" s="2">
        <v>4</v>
      </c>
      <c r="G429" s="2">
        <v>76.180000000000007</v>
      </c>
      <c r="H429" s="2">
        <v>304.72000000000003</v>
      </c>
      <c r="I429" s="2">
        <v>30.47</v>
      </c>
      <c r="J429" s="2">
        <v>335.19</v>
      </c>
      <c r="K429">
        <f t="shared" si="18"/>
        <v>304.72000000000003</v>
      </c>
      <c r="M429" t="str">
        <f t="shared" si="19"/>
        <v>LOW</v>
      </c>
      <c r="N429" t="str">
        <f t="shared" si="20"/>
        <v>LOW</v>
      </c>
    </row>
    <row r="430" spans="1:14" x14ac:dyDescent="0.35">
      <c r="A430" s="2">
        <v>316</v>
      </c>
      <c r="B430" s="3">
        <v>45490</v>
      </c>
      <c r="C430" s="2" t="s">
        <v>323</v>
      </c>
      <c r="D430" s="2" t="s">
        <v>518</v>
      </c>
      <c r="E430" s="2" t="s">
        <v>533</v>
      </c>
      <c r="F430" s="2">
        <v>3</v>
      </c>
      <c r="G430" s="2">
        <v>100.36</v>
      </c>
      <c r="H430" s="2">
        <v>301.08</v>
      </c>
      <c r="I430" s="2">
        <v>30.11</v>
      </c>
      <c r="J430" s="2">
        <v>331.19</v>
      </c>
      <c r="K430">
        <f t="shared" si="18"/>
        <v>301.08</v>
      </c>
      <c r="M430" t="str">
        <f t="shared" si="19"/>
        <v>LOW</v>
      </c>
      <c r="N430" t="str">
        <f t="shared" si="20"/>
        <v>LOW</v>
      </c>
    </row>
    <row r="431" spans="1:14" x14ac:dyDescent="0.35">
      <c r="A431" s="2">
        <v>60</v>
      </c>
      <c r="B431" s="3">
        <v>45401</v>
      </c>
      <c r="C431" s="2" t="s">
        <v>69</v>
      </c>
      <c r="D431" s="2" t="s">
        <v>521</v>
      </c>
      <c r="E431" s="2" t="s">
        <v>533</v>
      </c>
      <c r="F431" s="2">
        <v>1</v>
      </c>
      <c r="G431" s="2">
        <v>298.47000000000003</v>
      </c>
      <c r="H431" s="2">
        <v>298.47000000000003</v>
      </c>
      <c r="I431" s="2">
        <v>29.85</v>
      </c>
      <c r="J431" s="2">
        <v>328.32</v>
      </c>
      <c r="K431">
        <f t="shared" si="18"/>
        <v>298.47000000000003</v>
      </c>
      <c r="M431" t="str">
        <f t="shared" si="19"/>
        <v>LOW</v>
      </c>
      <c r="N431" t="str">
        <f t="shared" si="20"/>
        <v>LOW</v>
      </c>
    </row>
    <row r="432" spans="1:14" x14ac:dyDescent="0.35">
      <c r="A432" s="2">
        <v>264</v>
      </c>
      <c r="B432" s="3">
        <v>45397</v>
      </c>
      <c r="C432" s="2" t="s">
        <v>272</v>
      </c>
      <c r="D432" s="2" t="s">
        <v>518</v>
      </c>
      <c r="E432" s="2" t="s">
        <v>533</v>
      </c>
      <c r="F432" s="2">
        <v>1</v>
      </c>
      <c r="G432" s="2">
        <v>279.47000000000003</v>
      </c>
      <c r="H432" s="2">
        <v>279.47000000000003</v>
      </c>
      <c r="I432" s="2">
        <v>27.95</v>
      </c>
      <c r="J432" s="2">
        <v>307.42</v>
      </c>
      <c r="K432">
        <f t="shared" si="18"/>
        <v>279.47000000000003</v>
      </c>
      <c r="M432" t="str">
        <f t="shared" si="19"/>
        <v>LOW</v>
      </c>
      <c r="N432" t="str">
        <f t="shared" si="20"/>
        <v>LOW</v>
      </c>
    </row>
    <row r="433" spans="1:14" x14ac:dyDescent="0.35">
      <c r="A433" s="2">
        <v>259</v>
      </c>
      <c r="B433" s="3">
        <v>45643</v>
      </c>
      <c r="C433" s="2" t="s">
        <v>268</v>
      </c>
      <c r="D433" s="2" t="s">
        <v>526</v>
      </c>
      <c r="E433" s="2" t="s">
        <v>537</v>
      </c>
      <c r="F433" s="2">
        <v>6</v>
      </c>
      <c r="G433" s="2">
        <v>44.25</v>
      </c>
      <c r="H433" s="2">
        <v>265.5</v>
      </c>
      <c r="I433" s="2">
        <v>26.55</v>
      </c>
      <c r="J433" s="2">
        <v>292.05</v>
      </c>
      <c r="K433">
        <f t="shared" si="18"/>
        <v>265.5</v>
      </c>
      <c r="M433" t="str">
        <f t="shared" si="19"/>
        <v>LOW</v>
      </c>
      <c r="N433" t="str">
        <f t="shared" si="20"/>
        <v>LOW</v>
      </c>
    </row>
    <row r="434" spans="1:14" x14ac:dyDescent="0.35">
      <c r="A434" s="2">
        <v>42</v>
      </c>
      <c r="B434" s="3">
        <v>45451</v>
      </c>
      <c r="C434" s="2" t="s">
        <v>51</v>
      </c>
      <c r="D434" s="2" t="s">
        <v>518</v>
      </c>
      <c r="E434" s="2" t="s">
        <v>533</v>
      </c>
      <c r="F434" s="2">
        <v>3</v>
      </c>
      <c r="G434" s="2">
        <v>88.15</v>
      </c>
      <c r="H434" s="2">
        <v>264.45</v>
      </c>
      <c r="I434" s="2">
        <v>26.45</v>
      </c>
      <c r="J434" s="2">
        <v>290.89999999999998</v>
      </c>
      <c r="K434">
        <f t="shared" si="18"/>
        <v>264.45000000000005</v>
      </c>
      <c r="M434" t="str">
        <f t="shared" si="19"/>
        <v>LOW</v>
      </c>
      <c r="N434" t="str">
        <f t="shared" si="20"/>
        <v>LOW</v>
      </c>
    </row>
    <row r="435" spans="1:14" ht="29" x14ac:dyDescent="0.35">
      <c r="A435" s="2">
        <v>484</v>
      </c>
      <c r="B435" s="3">
        <v>45620</v>
      </c>
      <c r="C435" s="2" t="s">
        <v>491</v>
      </c>
      <c r="D435" s="2" t="s">
        <v>528</v>
      </c>
      <c r="E435" s="2" t="s">
        <v>536</v>
      </c>
      <c r="F435" s="2">
        <v>1</v>
      </c>
      <c r="G435" s="2">
        <v>264.24</v>
      </c>
      <c r="H435" s="2">
        <v>264.24</v>
      </c>
      <c r="I435" s="2">
        <v>26.42</v>
      </c>
      <c r="J435" s="2">
        <v>290.66000000000003</v>
      </c>
      <c r="K435">
        <f t="shared" si="18"/>
        <v>264.24</v>
      </c>
      <c r="M435" t="str">
        <f t="shared" si="19"/>
        <v>LOW</v>
      </c>
      <c r="N435" t="str">
        <f t="shared" si="20"/>
        <v>LOW</v>
      </c>
    </row>
    <row r="436" spans="1:14" x14ac:dyDescent="0.35">
      <c r="A436" s="2">
        <v>117</v>
      </c>
      <c r="B436" s="3">
        <v>45616</v>
      </c>
      <c r="C436" s="2" t="s">
        <v>126</v>
      </c>
      <c r="D436" s="2" t="s">
        <v>512</v>
      </c>
      <c r="E436" s="2" t="s">
        <v>534</v>
      </c>
      <c r="F436" s="2">
        <v>4</v>
      </c>
      <c r="G436" s="2">
        <v>64.92</v>
      </c>
      <c r="H436" s="2">
        <v>259.68</v>
      </c>
      <c r="I436" s="2">
        <v>25.97</v>
      </c>
      <c r="J436" s="2">
        <v>285.64999999999998</v>
      </c>
      <c r="K436">
        <f t="shared" si="18"/>
        <v>259.68</v>
      </c>
      <c r="M436" t="str">
        <f t="shared" si="19"/>
        <v>LOW</v>
      </c>
      <c r="N436" t="str">
        <f t="shared" si="20"/>
        <v>LOW</v>
      </c>
    </row>
    <row r="437" spans="1:14" ht="29" x14ac:dyDescent="0.35">
      <c r="A437" s="2">
        <v>358</v>
      </c>
      <c r="B437" s="3">
        <v>45445</v>
      </c>
      <c r="C437" s="2" t="s">
        <v>365</v>
      </c>
      <c r="D437" s="2" t="s">
        <v>517</v>
      </c>
      <c r="E437" s="2" t="s">
        <v>537</v>
      </c>
      <c r="F437" s="2">
        <v>1</v>
      </c>
      <c r="G437" s="2">
        <v>257.37</v>
      </c>
      <c r="H437" s="2">
        <v>257.37</v>
      </c>
      <c r="I437" s="2">
        <v>25.74</v>
      </c>
      <c r="J437" s="2">
        <v>283.11</v>
      </c>
      <c r="K437">
        <f t="shared" si="18"/>
        <v>257.37</v>
      </c>
      <c r="M437" t="str">
        <f t="shared" si="19"/>
        <v>LOW</v>
      </c>
      <c r="N437" t="str">
        <f t="shared" si="20"/>
        <v>LOW</v>
      </c>
    </row>
    <row r="438" spans="1:14" x14ac:dyDescent="0.35">
      <c r="A438" s="2">
        <v>1</v>
      </c>
      <c r="B438" s="3">
        <v>45370</v>
      </c>
      <c r="C438" s="2" t="s">
        <v>10</v>
      </c>
      <c r="D438" s="2" t="s">
        <v>508</v>
      </c>
      <c r="E438" s="2" t="s">
        <v>533</v>
      </c>
      <c r="F438" s="2">
        <v>1</v>
      </c>
      <c r="G438" s="2">
        <v>255.16</v>
      </c>
      <c r="H438" s="2">
        <v>255.16</v>
      </c>
      <c r="I438" s="2">
        <v>25.52</v>
      </c>
      <c r="J438" s="2">
        <v>280.68</v>
      </c>
      <c r="K438">
        <f t="shared" si="18"/>
        <v>255.16</v>
      </c>
      <c r="M438" t="str">
        <f t="shared" si="19"/>
        <v>LOW</v>
      </c>
      <c r="N438" t="str">
        <f t="shared" si="20"/>
        <v>LOW</v>
      </c>
    </row>
    <row r="439" spans="1:14" x14ac:dyDescent="0.35">
      <c r="A439" s="2">
        <v>289</v>
      </c>
      <c r="B439" s="3">
        <v>45337</v>
      </c>
      <c r="C439" s="2" t="s">
        <v>296</v>
      </c>
      <c r="D439" s="2" t="s">
        <v>529</v>
      </c>
      <c r="E439" s="2" t="s">
        <v>535</v>
      </c>
      <c r="F439" s="2">
        <v>1</v>
      </c>
      <c r="G439" s="2">
        <v>251.65</v>
      </c>
      <c r="H439" s="2">
        <v>251.65</v>
      </c>
      <c r="I439" s="2">
        <v>25.17</v>
      </c>
      <c r="J439" s="2">
        <v>276.82</v>
      </c>
      <c r="K439">
        <f t="shared" si="18"/>
        <v>251.65</v>
      </c>
      <c r="M439" t="str">
        <f t="shared" si="19"/>
        <v>LOW</v>
      </c>
      <c r="N439" t="str">
        <f t="shared" si="20"/>
        <v>LOW</v>
      </c>
    </row>
    <row r="440" spans="1:14" x14ac:dyDescent="0.35">
      <c r="A440" s="2">
        <v>82</v>
      </c>
      <c r="B440" s="3">
        <v>45685</v>
      </c>
      <c r="C440" s="2" t="s">
        <v>91</v>
      </c>
      <c r="D440" s="2" t="s">
        <v>523</v>
      </c>
      <c r="E440" s="2" t="s">
        <v>534</v>
      </c>
      <c r="F440" s="2">
        <v>2</v>
      </c>
      <c r="G440" s="2">
        <v>122.36</v>
      </c>
      <c r="H440" s="2">
        <v>244.72</v>
      </c>
      <c r="I440" s="2">
        <v>24.47</v>
      </c>
      <c r="J440" s="2">
        <v>269.19</v>
      </c>
      <c r="K440">
        <f t="shared" si="18"/>
        <v>244.72</v>
      </c>
      <c r="M440" t="str">
        <f t="shared" si="19"/>
        <v>LOW</v>
      </c>
      <c r="N440" t="str">
        <f t="shared" si="20"/>
        <v>LOW</v>
      </c>
    </row>
    <row r="441" spans="1:14" ht="29" x14ac:dyDescent="0.35">
      <c r="A441" s="2">
        <v>167</v>
      </c>
      <c r="B441" s="3">
        <v>45677</v>
      </c>
      <c r="C441" s="2" t="s">
        <v>176</v>
      </c>
      <c r="D441" s="2" t="s">
        <v>517</v>
      </c>
      <c r="E441" s="2" t="s">
        <v>537</v>
      </c>
      <c r="F441" s="2">
        <v>1</v>
      </c>
      <c r="G441" s="2">
        <v>235.54</v>
      </c>
      <c r="H441" s="2">
        <v>235.54</v>
      </c>
      <c r="I441" s="2">
        <v>23.55</v>
      </c>
      <c r="J441" s="2">
        <v>259.08999999999997</v>
      </c>
      <c r="K441">
        <f t="shared" si="18"/>
        <v>235.54</v>
      </c>
      <c r="M441" t="str">
        <f t="shared" si="19"/>
        <v>LOW</v>
      </c>
      <c r="N441" t="str">
        <f t="shared" si="20"/>
        <v>LOW</v>
      </c>
    </row>
    <row r="442" spans="1:14" x14ac:dyDescent="0.35">
      <c r="A442" s="2">
        <v>459</v>
      </c>
      <c r="B442" s="3">
        <v>45409</v>
      </c>
      <c r="C442" s="2" t="s">
        <v>466</v>
      </c>
      <c r="D442" s="2" t="s">
        <v>509</v>
      </c>
      <c r="E442" s="2" t="s">
        <v>534</v>
      </c>
      <c r="F442" s="2">
        <v>8</v>
      </c>
      <c r="G442" s="2">
        <v>28.92</v>
      </c>
      <c r="H442" s="2">
        <v>231.36</v>
      </c>
      <c r="I442" s="2">
        <v>23.14</v>
      </c>
      <c r="J442" s="2">
        <v>254.5</v>
      </c>
      <c r="K442">
        <f t="shared" si="18"/>
        <v>231.36</v>
      </c>
      <c r="M442" t="str">
        <f t="shared" si="19"/>
        <v>LOW</v>
      </c>
      <c r="N442" t="str">
        <f t="shared" si="20"/>
        <v>LOW</v>
      </c>
    </row>
    <row r="443" spans="1:14" x14ac:dyDescent="0.35">
      <c r="A443" s="2">
        <v>21</v>
      </c>
      <c r="B443" s="3">
        <v>45640</v>
      </c>
      <c r="C443" s="2" t="s">
        <v>30</v>
      </c>
      <c r="D443" s="2" t="s">
        <v>521</v>
      </c>
      <c r="E443" s="2" t="s">
        <v>533</v>
      </c>
      <c r="F443" s="2">
        <v>4</v>
      </c>
      <c r="G443" s="2">
        <v>57.78</v>
      </c>
      <c r="H443" s="2">
        <v>231.12</v>
      </c>
      <c r="I443" s="2">
        <v>23.11</v>
      </c>
      <c r="J443" s="2">
        <v>254.23</v>
      </c>
      <c r="K443">
        <f t="shared" si="18"/>
        <v>231.12</v>
      </c>
      <c r="M443" t="str">
        <f t="shared" si="19"/>
        <v>LOW</v>
      </c>
      <c r="N443" t="str">
        <f t="shared" si="20"/>
        <v>LOW</v>
      </c>
    </row>
    <row r="444" spans="1:14" ht="29" x14ac:dyDescent="0.35">
      <c r="A444" s="2">
        <v>33</v>
      </c>
      <c r="B444" s="3">
        <v>45491</v>
      </c>
      <c r="C444" s="2" t="s">
        <v>42</v>
      </c>
      <c r="D444" s="2" t="s">
        <v>524</v>
      </c>
      <c r="E444" s="2" t="s">
        <v>534</v>
      </c>
      <c r="F444" s="2">
        <v>1</v>
      </c>
      <c r="G444" s="2">
        <v>229.92</v>
      </c>
      <c r="H444" s="2">
        <v>229.92</v>
      </c>
      <c r="I444" s="2">
        <v>22.99</v>
      </c>
      <c r="J444" s="2">
        <v>252.91</v>
      </c>
      <c r="K444">
        <f t="shared" si="18"/>
        <v>229.92</v>
      </c>
      <c r="M444" t="str">
        <f t="shared" si="19"/>
        <v>LOW</v>
      </c>
      <c r="N444" t="str">
        <f t="shared" si="20"/>
        <v>LOW</v>
      </c>
    </row>
    <row r="445" spans="1:14" x14ac:dyDescent="0.35">
      <c r="A445" s="2">
        <v>483</v>
      </c>
      <c r="B445" s="3">
        <v>45451</v>
      </c>
      <c r="C445" s="2" t="s">
        <v>490</v>
      </c>
      <c r="D445" s="2" t="s">
        <v>526</v>
      </c>
      <c r="E445" s="2" t="s">
        <v>537</v>
      </c>
      <c r="F445" s="2">
        <v>1</v>
      </c>
      <c r="G445" s="2">
        <v>227.27</v>
      </c>
      <c r="H445" s="2">
        <v>227.27</v>
      </c>
      <c r="I445" s="2">
        <v>22.73</v>
      </c>
      <c r="J445" s="2">
        <v>250</v>
      </c>
      <c r="K445">
        <f t="shared" si="18"/>
        <v>227.27</v>
      </c>
      <c r="M445" t="str">
        <f t="shared" si="19"/>
        <v>LOW</v>
      </c>
      <c r="N445" t="str">
        <f t="shared" si="20"/>
        <v>LOW</v>
      </c>
    </row>
    <row r="446" spans="1:14" ht="29" x14ac:dyDescent="0.35">
      <c r="A446" s="2">
        <v>434</v>
      </c>
      <c r="B446" s="3">
        <v>45592</v>
      </c>
      <c r="C446" s="2" t="s">
        <v>441</v>
      </c>
      <c r="D446" s="2" t="s">
        <v>528</v>
      </c>
      <c r="E446" s="2" t="s">
        <v>536</v>
      </c>
      <c r="F446" s="2">
        <v>2</v>
      </c>
      <c r="G446" s="2">
        <v>112.66</v>
      </c>
      <c r="H446" s="2">
        <v>225.32</v>
      </c>
      <c r="I446" s="2">
        <v>22.53</v>
      </c>
      <c r="J446" s="2">
        <v>247.85</v>
      </c>
      <c r="K446">
        <f t="shared" si="18"/>
        <v>225.32</v>
      </c>
      <c r="M446" t="str">
        <f t="shared" si="19"/>
        <v>LOW</v>
      </c>
      <c r="N446" t="str">
        <f t="shared" si="20"/>
        <v>LOW</v>
      </c>
    </row>
    <row r="447" spans="1:14" x14ac:dyDescent="0.35">
      <c r="A447" s="2">
        <v>454</v>
      </c>
      <c r="B447" s="3">
        <v>45394</v>
      </c>
      <c r="C447" s="2" t="s">
        <v>461</v>
      </c>
      <c r="D447" s="2" t="s">
        <v>519</v>
      </c>
      <c r="E447" s="2" t="s">
        <v>537</v>
      </c>
      <c r="F447" s="2">
        <v>9</v>
      </c>
      <c r="G447" s="2">
        <v>24.77</v>
      </c>
      <c r="H447" s="2">
        <v>222.93</v>
      </c>
      <c r="I447" s="2">
        <v>22.29</v>
      </c>
      <c r="J447" s="2">
        <v>245.22</v>
      </c>
      <c r="K447">
        <f t="shared" si="18"/>
        <v>222.93</v>
      </c>
      <c r="M447" t="str">
        <f t="shared" si="19"/>
        <v>LOW</v>
      </c>
      <c r="N447" t="str">
        <f t="shared" si="20"/>
        <v>LOW</v>
      </c>
    </row>
    <row r="448" spans="1:14" ht="29" x14ac:dyDescent="0.35">
      <c r="A448" s="2">
        <v>253</v>
      </c>
      <c r="B448" s="3">
        <v>45463</v>
      </c>
      <c r="C448" s="2" t="s">
        <v>262</v>
      </c>
      <c r="D448" s="2" t="s">
        <v>514</v>
      </c>
      <c r="E448" s="2" t="s">
        <v>534</v>
      </c>
      <c r="F448" s="2">
        <v>2</v>
      </c>
      <c r="G448" s="2">
        <v>110.32</v>
      </c>
      <c r="H448" s="2">
        <v>220.64</v>
      </c>
      <c r="I448" s="2">
        <v>22.06</v>
      </c>
      <c r="J448" s="2">
        <v>242.7</v>
      </c>
      <c r="K448">
        <f t="shared" si="18"/>
        <v>220.64</v>
      </c>
      <c r="M448" t="str">
        <f t="shared" si="19"/>
        <v>LOW</v>
      </c>
      <c r="N448" t="str">
        <f t="shared" si="20"/>
        <v>LOW</v>
      </c>
    </row>
    <row r="449" spans="1:14" x14ac:dyDescent="0.35">
      <c r="A449" s="2">
        <v>382</v>
      </c>
      <c r="B449" s="3">
        <v>45419</v>
      </c>
      <c r="C449" s="2" t="s">
        <v>389</v>
      </c>
      <c r="D449" s="2" t="s">
        <v>523</v>
      </c>
      <c r="E449" s="2" t="s">
        <v>534</v>
      </c>
      <c r="F449" s="2">
        <v>2</v>
      </c>
      <c r="G449" s="2">
        <v>108.27</v>
      </c>
      <c r="H449" s="2">
        <v>216.54</v>
      </c>
      <c r="I449" s="2">
        <v>21.65</v>
      </c>
      <c r="J449" s="2">
        <v>238.19</v>
      </c>
      <c r="K449">
        <f t="shared" si="18"/>
        <v>216.54</v>
      </c>
      <c r="M449" t="str">
        <f t="shared" si="19"/>
        <v>LOW</v>
      </c>
      <c r="N449" t="str">
        <f t="shared" si="20"/>
        <v>LOW</v>
      </c>
    </row>
    <row r="450" spans="1:14" ht="29" x14ac:dyDescent="0.35">
      <c r="A450" s="2">
        <v>431</v>
      </c>
      <c r="B450" s="3">
        <v>45377</v>
      </c>
      <c r="C450" s="2" t="s">
        <v>438</v>
      </c>
      <c r="D450" s="2" t="s">
        <v>515</v>
      </c>
      <c r="E450" s="2" t="s">
        <v>536</v>
      </c>
      <c r="F450" s="2">
        <v>3</v>
      </c>
      <c r="G450" s="2">
        <v>71.31</v>
      </c>
      <c r="H450" s="2">
        <v>213.93</v>
      </c>
      <c r="I450" s="2">
        <v>21.39</v>
      </c>
      <c r="J450" s="2">
        <v>235.32</v>
      </c>
      <c r="K450">
        <f t="shared" si="18"/>
        <v>213.93</v>
      </c>
      <c r="M450" t="str">
        <f t="shared" si="19"/>
        <v>LOW</v>
      </c>
      <c r="N450" t="str">
        <f t="shared" si="20"/>
        <v>LOW</v>
      </c>
    </row>
    <row r="451" spans="1:14" x14ac:dyDescent="0.35">
      <c r="A451" s="2">
        <v>271</v>
      </c>
      <c r="B451" s="3">
        <v>45463</v>
      </c>
      <c r="C451" s="2" t="s">
        <v>278</v>
      </c>
      <c r="D451" s="2" t="s">
        <v>510</v>
      </c>
      <c r="E451" s="2" t="s">
        <v>533</v>
      </c>
      <c r="F451" s="2">
        <v>2</v>
      </c>
      <c r="G451" s="2">
        <v>106.56</v>
      </c>
      <c r="H451" s="2">
        <v>213.12</v>
      </c>
      <c r="I451" s="2">
        <v>21.31</v>
      </c>
      <c r="J451" s="2">
        <v>234.43</v>
      </c>
      <c r="K451">
        <f t="shared" ref="K451:K501" si="21">F451*G451</f>
        <v>213.12</v>
      </c>
      <c r="M451" t="str">
        <f t="shared" ref="M451:M501" si="22">IF(H451&gt;2500,"HIGH","LOW")</f>
        <v>LOW</v>
      </c>
      <c r="N451" t="str">
        <f t="shared" ref="N451:N501" si="23">IF(H451&gt;2500,"HIGH",IF(H451&lt;1000,"LOW","MEDIUM"))</f>
        <v>LOW</v>
      </c>
    </row>
    <row r="452" spans="1:14" x14ac:dyDescent="0.35">
      <c r="A452" s="2">
        <v>160</v>
      </c>
      <c r="B452" s="3">
        <v>45528</v>
      </c>
      <c r="C452" s="2" t="s">
        <v>169</v>
      </c>
      <c r="D452" s="2" t="s">
        <v>532</v>
      </c>
      <c r="E452" s="2" t="s">
        <v>537</v>
      </c>
      <c r="F452" s="2">
        <v>2</v>
      </c>
      <c r="G452" s="2">
        <v>106.02</v>
      </c>
      <c r="H452" s="2">
        <v>212.04</v>
      </c>
      <c r="I452" s="2">
        <v>21.2</v>
      </c>
      <c r="J452" s="2">
        <v>233.24</v>
      </c>
      <c r="K452">
        <f t="shared" si="21"/>
        <v>212.04</v>
      </c>
      <c r="M452" t="str">
        <f t="shared" si="22"/>
        <v>LOW</v>
      </c>
      <c r="N452" t="str">
        <f t="shared" si="23"/>
        <v>LOW</v>
      </c>
    </row>
    <row r="453" spans="1:14" x14ac:dyDescent="0.35">
      <c r="A453" s="2">
        <v>143</v>
      </c>
      <c r="B453" s="3">
        <v>45597</v>
      </c>
      <c r="C453" s="2" t="s">
        <v>152</v>
      </c>
      <c r="D453" s="2" t="s">
        <v>532</v>
      </c>
      <c r="E453" s="2" t="s">
        <v>537</v>
      </c>
      <c r="F453" s="2">
        <v>8</v>
      </c>
      <c r="G453" s="2">
        <v>25.85</v>
      </c>
      <c r="H453" s="2">
        <v>206.8</v>
      </c>
      <c r="I453" s="2">
        <v>20.68</v>
      </c>
      <c r="J453" s="2">
        <v>227.48</v>
      </c>
      <c r="K453">
        <f t="shared" si="21"/>
        <v>206.8</v>
      </c>
      <c r="M453" t="str">
        <f t="shared" si="22"/>
        <v>LOW</v>
      </c>
      <c r="N453" t="str">
        <f t="shared" si="23"/>
        <v>LOW</v>
      </c>
    </row>
    <row r="454" spans="1:14" x14ac:dyDescent="0.35">
      <c r="A454" s="2">
        <v>436</v>
      </c>
      <c r="B454" s="3">
        <v>45389</v>
      </c>
      <c r="C454" s="2" t="s">
        <v>443</v>
      </c>
      <c r="D454" s="2" t="s">
        <v>516</v>
      </c>
      <c r="E454" s="2" t="s">
        <v>535</v>
      </c>
      <c r="F454" s="2">
        <v>6</v>
      </c>
      <c r="G454" s="2">
        <v>33.97</v>
      </c>
      <c r="H454" s="2">
        <v>203.82</v>
      </c>
      <c r="I454" s="2">
        <v>20.38</v>
      </c>
      <c r="J454" s="2">
        <v>224.2</v>
      </c>
      <c r="K454">
        <f t="shared" si="21"/>
        <v>203.82</v>
      </c>
      <c r="M454" t="str">
        <f t="shared" si="22"/>
        <v>LOW</v>
      </c>
      <c r="N454" t="str">
        <f t="shared" si="23"/>
        <v>LOW</v>
      </c>
    </row>
    <row r="455" spans="1:14" x14ac:dyDescent="0.35">
      <c r="A455" s="2">
        <v>58</v>
      </c>
      <c r="B455" s="3">
        <v>45425</v>
      </c>
      <c r="C455" s="2" t="s">
        <v>67</v>
      </c>
      <c r="D455" s="2" t="s">
        <v>526</v>
      </c>
      <c r="E455" s="2" t="s">
        <v>537</v>
      </c>
      <c r="F455" s="2">
        <v>3</v>
      </c>
      <c r="G455" s="2">
        <v>67.73</v>
      </c>
      <c r="H455" s="2">
        <v>203.19</v>
      </c>
      <c r="I455" s="2">
        <v>20.32</v>
      </c>
      <c r="J455" s="2">
        <v>223.51</v>
      </c>
      <c r="K455">
        <f t="shared" si="21"/>
        <v>203.19</v>
      </c>
      <c r="M455" t="str">
        <f t="shared" si="22"/>
        <v>LOW</v>
      </c>
      <c r="N455" t="str">
        <f t="shared" si="23"/>
        <v>LOW</v>
      </c>
    </row>
    <row r="456" spans="1:14" ht="29" x14ac:dyDescent="0.35">
      <c r="A456" s="2">
        <v>301</v>
      </c>
      <c r="B456" s="3">
        <v>45497</v>
      </c>
      <c r="C456" s="2" t="s">
        <v>308</v>
      </c>
      <c r="D456" s="2" t="s">
        <v>525</v>
      </c>
      <c r="E456" s="2" t="s">
        <v>535</v>
      </c>
      <c r="F456" s="2">
        <v>4</v>
      </c>
      <c r="G456" s="2">
        <v>47.24</v>
      </c>
      <c r="H456" s="2">
        <v>188.96</v>
      </c>
      <c r="I456" s="2">
        <v>18.899999999999999</v>
      </c>
      <c r="J456" s="2">
        <v>207.86</v>
      </c>
      <c r="K456">
        <f t="shared" si="21"/>
        <v>188.96</v>
      </c>
      <c r="M456" t="str">
        <f t="shared" si="22"/>
        <v>LOW</v>
      </c>
      <c r="N456" t="str">
        <f t="shared" si="23"/>
        <v>LOW</v>
      </c>
    </row>
    <row r="457" spans="1:14" ht="29" x14ac:dyDescent="0.35">
      <c r="A457" s="2">
        <v>406</v>
      </c>
      <c r="B457" s="3">
        <v>45337</v>
      </c>
      <c r="C457" s="2" t="s">
        <v>413</v>
      </c>
      <c r="D457" s="2" t="s">
        <v>517</v>
      </c>
      <c r="E457" s="2" t="s">
        <v>537</v>
      </c>
      <c r="F457" s="2">
        <v>1</v>
      </c>
      <c r="G457" s="2">
        <v>178.77</v>
      </c>
      <c r="H457" s="2">
        <v>178.77</v>
      </c>
      <c r="I457" s="2">
        <v>17.88</v>
      </c>
      <c r="J457" s="2">
        <v>196.65</v>
      </c>
      <c r="K457">
        <f t="shared" si="21"/>
        <v>178.77</v>
      </c>
      <c r="M457" t="str">
        <f t="shared" si="22"/>
        <v>LOW</v>
      </c>
      <c r="N457" t="str">
        <f t="shared" si="23"/>
        <v>LOW</v>
      </c>
    </row>
    <row r="458" spans="1:14" x14ac:dyDescent="0.35">
      <c r="A458" s="2">
        <v>31</v>
      </c>
      <c r="B458" s="3">
        <v>45418</v>
      </c>
      <c r="C458" s="2" t="s">
        <v>40</v>
      </c>
      <c r="D458" s="2" t="s">
        <v>511</v>
      </c>
      <c r="E458" s="2" t="s">
        <v>535</v>
      </c>
      <c r="F458" s="2">
        <v>9</v>
      </c>
      <c r="G458" s="2">
        <v>19.73</v>
      </c>
      <c r="H458" s="2">
        <v>177.57</v>
      </c>
      <c r="I458" s="2">
        <v>17.760000000000002</v>
      </c>
      <c r="J458" s="2">
        <v>195.33</v>
      </c>
      <c r="K458">
        <f t="shared" si="21"/>
        <v>177.57</v>
      </c>
      <c r="M458" t="str">
        <f t="shared" si="22"/>
        <v>LOW</v>
      </c>
      <c r="N458" t="str">
        <f t="shared" si="23"/>
        <v>LOW</v>
      </c>
    </row>
    <row r="459" spans="1:14" ht="29" x14ac:dyDescent="0.35">
      <c r="A459" s="2">
        <v>347</v>
      </c>
      <c r="B459" s="3">
        <v>45400</v>
      </c>
      <c r="C459" s="2" t="s">
        <v>354</v>
      </c>
      <c r="D459" s="2" t="s">
        <v>515</v>
      </c>
      <c r="E459" s="2" t="s">
        <v>536</v>
      </c>
      <c r="F459" s="2">
        <v>4</v>
      </c>
      <c r="G459" s="2">
        <v>43.1</v>
      </c>
      <c r="H459" s="2">
        <v>172.4</v>
      </c>
      <c r="I459" s="2">
        <v>17.239999999999998</v>
      </c>
      <c r="J459" s="2">
        <v>189.64</v>
      </c>
      <c r="K459">
        <f t="shared" si="21"/>
        <v>172.4</v>
      </c>
      <c r="M459" t="str">
        <f t="shared" si="22"/>
        <v>LOW</v>
      </c>
      <c r="N459" t="str">
        <f t="shared" si="23"/>
        <v>LOW</v>
      </c>
    </row>
    <row r="460" spans="1:14" x14ac:dyDescent="0.35">
      <c r="A460" s="2">
        <v>32</v>
      </c>
      <c r="B460" s="3">
        <v>45613</v>
      </c>
      <c r="C460" s="2" t="s">
        <v>41</v>
      </c>
      <c r="D460" s="2" t="s">
        <v>523</v>
      </c>
      <c r="E460" s="2" t="s">
        <v>534</v>
      </c>
      <c r="F460" s="2">
        <v>1</v>
      </c>
      <c r="G460" s="2">
        <v>171.09</v>
      </c>
      <c r="H460" s="2">
        <v>171.09</v>
      </c>
      <c r="I460" s="2">
        <v>17.11</v>
      </c>
      <c r="J460" s="2">
        <v>188.2</v>
      </c>
      <c r="K460">
        <f t="shared" si="21"/>
        <v>171.09</v>
      </c>
      <c r="M460" t="str">
        <f t="shared" si="22"/>
        <v>LOW</v>
      </c>
      <c r="N460" t="str">
        <f t="shared" si="23"/>
        <v>LOW</v>
      </c>
    </row>
    <row r="461" spans="1:14" ht="29" x14ac:dyDescent="0.35">
      <c r="A461" s="2">
        <v>189</v>
      </c>
      <c r="B461" s="3">
        <v>45550</v>
      </c>
      <c r="C461" s="2" t="s">
        <v>198</v>
      </c>
      <c r="D461" s="2" t="s">
        <v>528</v>
      </c>
      <c r="E461" s="2" t="s">
        <v>536</v>
      </c>
      <c r="F461" s="2">
        <v>1</v>
      </c>
      <c r="G461" s="2">
        <v>160.19999999999999</v>
      </c>
      <c r="H461" s="2">
        <v>160.19999999999999</v>
      </c>
      <c r="I461" s="2">
        <v>16.02</v>
      </c>
      <c r="J461" s="2">
        <v>176.22</v>
      </c>
      <c r="K461">
        <f t="shared" si="21"/>
        <v>160.19999999999999</v>
      </c>
      <c r="M461" t="str">
        <f t="shared" si="22"/>
        <v>LOW</v>
      </c>
      <c r="N461" t="str">
        <f t="shared" si="23"/>
        <v>LOW</v>
      </c>
    </row>
    <row r="462" spans="1:14" x14ac:dyDescent="0.35">
      <c r="A462" s="2">
        <v>230</v>
      </c>
      <c r="B462" s="3">
        <v>45583</v>
      </c>
      <c r="C462" s="2" t="s">
        <v>239</v>
      </c>
      <c r="D462" s="2" t="s">
        <v>522</v>
      </c>
      <c r="E462" s="2" t="s">
        <v>536</v>
      </c>
      <c r="F462" s="2">
        <v>4</v>
      </c>
      <c r="G462" s="2">
        <v>39.729999999999997</v>
      </c>
      <c r="H462" s="2">
        <v>158.91999999999999</v>
      </c>
      <c r="I462" s="2">
        <v>15.89</v>
      </c>
      <c r="J462" s="2">
        <v>174.81</v>
      </c>
      <c r="K462">
        <f t="shared" si="21"/>
        <v>158.91999999999999</v>
      </c>
      <c r="M462" t="str">
        <f t="shared" si="22"/>
        <v>LOW</v>
      </c>
      <c r="N462" t="str">
        <f t="shared" si="23"/>
        <v>LOW</v>
      </c>
    </row>
    <row r="463" spans="1:14" ht="29" x14ac:dyDescent="0.35">
      <c r="A463" s="2">
        <v>424</v>
      </c>
      <c r="B463" s="3">
        <v>45579</v>
      </c>
      <c r="C463" s="2" t="s">
        <v>431</v>
      </c>
      <c r="D463" s="2" t="s">
        <v>525</v>
      </c>
      <c r="E463" s="2" t="s">
        <v>535</v>
      </c>
      <c r="F463" s="2">
        <v>2</v>
      </c>
      <c r="G463" s="2">
        <v>78.489999999999995</v>
      </c>
      <c r="H463" s="2">
        <v>156.97999999999999</v>
      </c>
      <c r="I463" s="2">
        <v>15.7</v>
      </c>
      <c r="J463" s="2">
        <v>172.68</v>
      </c>
      <c r="K463">
        <f t="shared" si="21"/>
        <v>156.97999999999999</v>
      </c>
      <c r="M463" t="str">
        <f t="shared" si="22"/>
        <v>LOW</v>
      </c>
      <c r="N463" t="str">
        <f t="shared" si="23"/>
        <v>LOW</v>
      </c>
    </row>
    <row r="464" spans="1:14" ht="29" x14ac:dyDescent="0.35">
      <c r="A464" s="2">
        <v>77</v>
      </c>
      <c r="B464" s="3">
        <v>45639</v>
      </c>
      <c r="C464" s="2" t="s">
        <v>86</v>
      </c>
      <c r="D464" s="2" t="s">
        <v>514</v>
      </c>
      <c r="E464" s="2" t="s">
        <v>534</v>
      </c>
      <c r="F464" s="2">
        <v>1</v>
      </c>
      <c r="G464" s="2">
        <v>153.06</v>
      </c>
      <c r="H464" s="2">
        <v>153.06</v>
      </c>
      <c r="I464" s="2">
        <v>15.31</v>
      </c>
      <c r="J464" s="2">
        <v>168.37</v>
      </c>
      <c r="K464">
        <f t="shared" si="21"/>
        <v>153.06</v>
      </c>
      <c r="M464" t="str">
        <f t="shared" si="22"/>
        <v>LOW</v>
      </c>
      <c r="N464" t="str">
        <f t="shared" si="23"/>
        <v>LOW</v>
      </c>
    </row>
    <row r="465" spans="1:14" x14ac:dyDescent="0.35">
      <c r="A465" s="2">
        <v>250</v>
      </c>
      <c r="B465" s="3">
        <v>45437</v>
      </c>
      <c r="C465" s="2" t="s">
        <v>259</v>
      </c>
      <c r="D465" s="2" t="s">
        <v>531</v>
      </c>
      <c r="E465" s="2" t="s">
        <v>533</v>
      </c>
      <c r="F465" s="2">
        <v>8</v>
      </c>
      <c r="G465" s="2">
        <v>19.059999999999999</v>
      </c>
      <c r="H465" s="2">
        <v>152.47999999999999</v>
      </c>
      <c r="I465" s="2">
        <v>15.25</v>
      </c>
      <c r="J465" s="2">
        <v>167.73</v>
      </c>
      <c r="K465">
        <f t="shared" si="21"/>
        <v>152.47999999999999</v>
      </c>
      <c r="M465" t="str">
        <f t="shared" si="22"/>
        <v>LOW</v>
      </c>
      <c r="N465" t="str">
        <f t="shared" si="23"/>
        <v>LOW</v>
      </c>
    </row>
    <row r="466" spans="1:14" x14ac:dyDescent="0.35">
      <c r="A466" s="2">
        <v>80</v>
      </c>
      <c r="B466" s="3">
        <v>45394</v>
      </c>
      <c r="C466" s="2" t="s">
        <v>89</v>
      </c>
      <c r="D466" s="2" t="s">
        <v>529</v>
      </c>
      <c r="E466" s="2" t="s">
        <v>535</v>
      </c>
      <c r="F466" s="2">
        <v>7</v>
      </c>
      <c r="G466" s="2">
        <v>19.920000000000002</v>
      </c>
      <c r="H466" s="2">
        <v>139.44</v>
      </c>
      <c r="I466" s="2">
        <v>13.94</v>
      </c>
      <c r="J466" s="2">
        <v>153.38</v>
      </c>
      <c r="K466">
        <f t="shared" si="21"/>
        <v>139.44</v>
      </c>
      <c r="M466" t="str">
        <f t="shared" si="22"/>
        <v>LOW</v>
      </c>
      <c r="N466" t="str">
        <f t="shared" si="23"/>
        <v>LOW</v>
      </c>
    </row>
    <row r="467" spans="1:14" x14ac:dyDescent="0.35">
      <c r="A467" s="2">
        <v>267</v>
      </c>
      <c r="B467" s="3">
        <v>45476</v>
      </c>
      <c r="C467" s="2" t="s">
        <v>274</v>
      </c>
      <c r="D467" s="2" t="s">
        <v>518</v>
      </c>
      <c r="E467" s="2" t="s">
        <v>533</v>
      </c>
      <c r="F467" s="2">
        <v>2</v>
      </c>
      <c r="G467" s="2">
        <v>69.150000000000006</v>
      </c>
      <c r="H467" s="2">
        <v>138.30000000000001</v>
      </c>
      <c r="I467" s="2">
        <v>13.83</v>
      </c>
      <c r="J467" s="2">
        <v>152.13</v>
      </c>
      <c r="K467">
        <f t="shared" si="21"/>
        <v>138.30000000000001</v>
      </c>
      <c r="M467" t="str">
        <f t="shared" si="22"/>
        <v>LOW</v>
      </c>
      <c r="N467" t="str">
        <f t="shared" si="23"/>
        <v>LOW</v>
      </c>
    </row>
    <row r="468" spans="1:14" ht="29" x14ac:dyDescent="0.35">
      <c r="A468" s="2">
        <v>118</v>
      </c>
      <c r="B468" s="3">
        <v>45643</v>
      </c>
      <c r="C468" s="2" t="s">
        <v>127</v>
      </c>
      <c r="D468" s="2" t="s">
        <v>511</v>
      </c>
      <c r="E468" s="2" t="s">
        <v>535</v>
      </c>
      <c r="F468" s="2">
        <v>1</v>
      </c>
      <c r="G468" s="2">
        <v>138.16999999999999</v>
      </c>
      <c r="H468" s="2">
        <v>138.16999999999999</v>
      </c>
      <c r="I468" s="2">
        <v>13.82</v>
      </c>
      <c r="J468" s="2">
        <v>151.99</v>
      </c>
      <c r="K468">
        <f t="shared" si="21"/>
        <v>138.16999999999999</v>
      </c>
      <c r="M468" t="str">
        <f t="shared" si="22"/>
        <v>LOW</v>
      </c>
      <c r="N468" t="str">
        <f t="shared" si="23"/>
        <v>LOW</v>
      </c>
    </row>
    <row r="469" spans="1:14" ht="29" x14ac:dyDescent="0.35">
      <c r="A469" s="2">
        <v>371</v>
      </c>
      <c r="B469" s="3">
        <v>45390</v>
      </c>
      <c r="C469" s="2" t="s">
        <v>378</v>
      </c>
      <c r="D469" s="2" t="s">
        <v>517</v>
      </c>
      <c r="E469" s="2" t="s">
        <v>537</v>
      </c>
      <c r="F469" s="2">
        <v>6</v>
      </c>
      <c r="G469" s="2">
        <v>23.01</v>
      </c>
      <c r="H469" s="2">
        <v>138.06</v>
      </c>
      <c r="I469" s="2">
        <v>13.81</v>
      </c>
      <c r="J469" s="2">
        <v>151.87</v>
      </c>
      <c r="K469">
        <f t="shared" si="21"/>
        <v>138.06</v>
      </c>
      <c r="M469" t="str">
        <f t="shared" si="22"/>
        <v>LOW</v>
      </c>
      <c r="N469" t="str">
        <f t="shared" si="23"/>
        <v>LOW</v>
      </c>
    </row>
    <row r="470" spans="1:14" ht="29" x14ac:dyDescent="0.35">
      <c r="A470" s="2">
        <v>142</v>
      </c>
      <c r="B470" s="3">
        <v>45413</v>
      </c>
      <c r="C470" s="2" t="s">
        <v>151</v>
      </c>
      <c r="D470" s="2" t="s">
        <v>521</v>
      </c>
      <c r="E470" s="2" t="s">
        <v>533</v>
      </c>
      <c r="F470" s="2">
        <v>1</v>
      </c>
      <c r="G470" s="2">
        <v>136.88999999999999</v>
      </c>
      <c r="H470" s="2">
        <v>136.88999999999999</v>
      </c>
      <c r="I470" s="2">
        <v>13.69</v>
      </c>
      <c r="J470" s="2">
        <v>150.58000000000001</v>
      </c>
      <c r="K470">
        <f t="shared" si="21"/>
        <v>136.88999999999999</v>
      </c>
      <c r="M470" t="str">
        <f t="shared" si="22"/>
        <v>LOW</v>
      </c>
      <c r="N470" t="str">
        <f t="shared" si="23"/>
        <v>LOW</v>
      </c>
    </row>
    <row r="471" spans="1:14" x14ac:dyDescent="0.35">
      <c r="A471" s="2">
        <v>408</v>
      </c>
      <c r="B471" s="3">
        <v>45626</v>
      </c>
      <c r="C471" s="2" t="s">
        <v>415</v>
      </c>
      <c r="D471" s="2" t="s">
        <v>516</v>
      </c>
      <c r="E471" s="2" t="s">
        <v>535</v>
      </c>
      <c r="F471" s="2">
        <v>2</v>
      </c>
      <c r="G471" s="2">
        <v>53.82</v>
      </c>
      <c r="H471" s="2">
        <v>107.64</v>
      </c>
      <c r="I471" s="2">
        <v>10.76</v>
      </c>
      <c r="J471" s="2">
        <v>118.4</v>
      </c>
      <c r="K471">
        <f t="shared" si="21"/>
        <v>107.64</v>
      </c>
      <c r="M471" t="str">
        <f t="shared" si="22"/>
        <v>LOW</v>
      </c>
      <c r="N471" t="str">
        <f t="shared" si="23"/>
        <v>LOW</v>
      </c>
    </row>
    <row r="472" spans="1:14" ht="29" x14ac:dyDescent="0.35">
      <c r="A472" s="2">
        <v>450</v>
      </c>
      <c r="B472" s="3">
        <v>45594</v>
      </c>
      <c r="C472" s="2" t="s">
        <v>457</v>
      </c>
      <c r="D472" s="2" t="s">
        <v>517</v>
      </c>
      <c r="E472" s="2" t="s">
        <v>537</v>
      </c>
      <c r="F472" s="2">
        <v>2</v>
      </c>
      <c r="G472" s="2">
        <v>50.99</v>
      </c>
      <c r="H472" s="2">
        <v>101.98</v>
      </c>
      <c r="I472" s="2">
        <v>10.199999999999999</v>
      </c>
      <c r="J472" s="2">
        <v>112.18</v>
      </c>
      <c r="K472">
        <f t="shared" si="21"/>
        <v>101.98</v>
      </c>
      <c r="M472" t="str">
        <f t="shared" si="22"/>
        <v>LOW</v>
      </c>
      <c r="N472" t="str">
        <f t="shared" si="23"/>
        <v>LOW</v>
      </c>
    </row>
    <row r="473" spans="1:14" ht="29" x14ac:dyDescent="0.35">
      <c r="A473" s="2">
        <v>227</v>
      </c>
      <c r="B473" s="3">
        <v>45605</v>
      </c>
      <c r="C473" s="2" t="s">
        <v>236</v>
      </c>
      <c r="D473" s="2" t="s">
        <v>515</v>
      </c>
      <c r="E473" s="2" t="s">
        <v>536</v>
      </c>
      <c r="F473" s="2">
        <v>5</v>
      </c>
      <c r="G473" s="2">
        <v>20.27</v>
      </c>
      <c r="H473" s="2">
        <v>101.35</v>
      </c>
      <c r="I473" s="2">
        <v>10.130000000000001</v>
      </c>
      <c r="J473" s="2">
        <v>111.48</v>
      </c>
      <c r="K473">
        <f t="shared" si="21"/>
        <v>101.35</v>
      </c>
      <c r="M473" t="str">
        <f t="shared" si="22"/>
        <v>LOW</v>
      </c>
      <c r="N473" t="str">
        <f t="shared" si="23"/>
        <v>LOW</v>
      </c>
    </row>
    <row r="474" spans="1:14" x14ac:dyDescent="0.35">
      <c r="A474" s="2">
        <v>399</v>
      </c>
      <c r="B474" s="3">
        <v>45408</v>
      </c>
      <c r="C474" s="2" t="s">
        <v>406</v>
      </c>
      <c r="D474" s="2" t="s">
        <v>522</v>
      </c>
      <c r="E474" s="2" t="s">
        <v>536</v>
      </c>
      <c r="F474" s="2">
        <v>4</v>
      </c>
      <c r="G474" s="2">
        <v>24.93</v>
      </c>
      <c r="H474" s="2">
        <v>99.72</v>
      </c>
      <c r="I474" s="2">
        <v>9.9700000000000006</v>
      </c>
      <c r="J474" s="2">
        <v>109.69</v>
      </c>
      <c r="K474">
        <f t="shared" si="21"/>
        <v>99.72</v>
      </c>
      <c r="M474" t="str">
        <f t="shared" si="22"/>
        <v>LOW</v>
      </c>
      <c r="N474" t="str">
        <f t="shared" si="23"/>
        <v>LOW</v>
      </c>
    </row>
    <row r="475" spans="1:14" x14ac:dyDescent="0.35">
      <c r="A475" s="2">
        <v>195</v>
      </c>
      <c r="B475" s="3">
        <v>45565</v>
      </c>
      <c r="C475" s="2" t="s">
        <v>204</v>
      </c>
      <c r="D475" s="2" t="s">
        <v>519</v>
      </c>
      <c r="E475" s="2" t="s">
        <v>537</v>
      </c>
      <c r="F475" s="2">
        <v>7</v>
      </c>
      <c r="G475" s="2">
        <v>13.93</v>
      </c>
      <c r="H475" s="2">
        <v>97.51</v>
      </c>
      <c r="I475" s="2">
        <v>9.75</v>
      </c>
      <c r="J475" s="2">
        <v>107.26</v>
      </c>
      <c r="K475">
        <f t="shared" si="21"/>
        <v>97.509999999999991</v>
      </c>
      <c r="M475" t="str">
        <f t="shared" si="22"/>
        <v>LOW</v>
      </c>
      <c r="N475" t="str">
        <f t="shared" si="23"/>
        <v>LOW</v>
      </c>
    </row>
    <row r="476" spans="1:14" x14ac:dyDescent="0.35">
      <c r="A476" s="2">
        <v>415</v>
      </c>
      <c r="B476" s="3">
        <v>45480</v>
      </c>
      <c r="C476" s="2" t="s">
        <v>422</v>
      </c>
      <c r="D476" s="2" t="s">
        <v>523</v>
      </c>
      <c r="E476" s="2" t="s">
        <v>534</v>
      </c>
      <c r="F476" s="2">
        <v>2</v>
      </c>
      <c r="G476" s="2">
        <v>48.54</v>
      </c>
      <c r="H476" s="2">
        <v>97.08</v>
      </c>
      <c r="I476" s="2">
        <v>9.7100000000000009</v>
      </c>
      <c r="J476" s="2">
        <v>106.79</v>
      </c>
      <c r="K476">
        <f t="shared" si="21"/>
        <v>97.08</v>
      </c>
      <c r="M476" t="str">
        <f t="shared" si="22"/>
        <v>LOW</v>
      </c>
      <c r="N476" t="str">
        <f t="shared" si="23"/>
        <v>LOW</v>
      </c>
    </row>
    <row r="477" spans="1:14" x14ac:dyDescent="0.35">
      <c r="A477" s="2">
        <v>233</v>
      </c>
      <c r="B477" s="3">
        <v>45395</v>
      </c>
      <c r="C477" s="2" t="s">
        <v>242</v>
      </c>
      <c r="D477" s="2" t="s">
        <v>523</v>
      </c>
      <c r="E477" s="2" t="s">
        <v>534</v>
      </c>
      <c r="F477" s="2">
        <v>7</v>
      </c>
      <c r="G477" s="2">
        <v>12.82</v>
      </c>
      <c r="H477" s="2">
        <v>89.74</v>
      </c>
      <c r="I477" s="2">
        <v>8.9700000000000006</v>
      </c>
      <c r="J477" s="2">
        <v>98.71</v>
      </c>
      <c r="K477">
        <f t="shared" si="21"/>
        <v>89.740000000000009</v>
      </c>
      <c r="M477" t="str">
        <f t="shared" si="22"/>
        <v>LOW</v>
      </c>
      <c r="N477" t="str">
        <f t="shared" si="23"/>
        <v>LOW</v>
      </c>
    </row>
    <row r="478" spans="1:14" ht="29" x14ac:dyDescent="0.35">
      <c r="A478" s="2">
        <v>219</v>
      </c>
      <c r="B478" s="3">
        <v>45358</v>
      </c>
      <c r="C478" s="2" t="s">
        <v>228</v>
      </c>
      <c r="D478" s="2" t="s">
        <v>527</v>
      </c>
      <c r="E478" s="2" t="s">
        <v>536</v>
      </c>
      <c r="F478" s="2">
        <v>3</v>
      </c>
      <c r="G478" s="2">
        <v>28.64</v>
      </c>
      <c r="H478" s="2">
        <v>85.92</v>
      </c>
      <c r="I478" s="2">
        <v>8.59</v>
      </c>
      <c r="J478" s="2">
        <v>94.51</v>
      </c>
      <c r="K478">
        <f t="shared" si="21"/>
        <v>85.92</v>
      </c>
      <c r="M478" t="str">
        <f t="shared" si="22"/>
        <v>LOW</v>
      </c>
      <c r="N478" t="str">
        <f t="shared" si="23"/>
        <v>LOW</v>
      </c>
    </row>
    <row r="479" spans="1:14" ht="29" x14ac:dyDescent="0.35">
      <c r="A479" s="2">
        <v>448</v>
      </c>
      <c r="B479" s="3">
        <v>45500</v>
      </c>
      <c r="C479" s="2" t="s">
        <v>455</v>
      </c>
      <c r="D479" s="2" t="s">
        <v>524</v>
      </c>
      <c r="E479" s="2" t="s">
        <v>534</v>
      </c>
      <c r="F479" s="2">
        <v>5</v>
      </c>
      <c r="G479" s="2">
        <v>16.48</v>
      </c>
      <c r="H479" s="2">
        <v>82.4</v>
      </c>
      <c r="I479" s="2">
        <v>8.24</v>
      </c>
      <c r="J479" s="2">
        <v>90.64</v>
      </c>
      <c r="K479">
        <f t="shared" si="21"/>
        <v>82.4</v>
      </c>
      <c r="M479" t="str">
        <f t="shared" si="22"/>
        <v>LOW</v>
      </c>
      <c r="N479" t="str">
        <f t="shared" si="23"/>
        <v>LOW</v>
      </c>
    </row>
    <row r="480" spans="1:14" ht="29" x14ac:dyDescent="0.35">
      <c r="A480" s="2">
        <v>318</v>
      </c>
      <c r="B480" s="3">
        <v>45340</v>
      </c>
      <c r="C480" s="2" t="s">
        <v>325</v>
      </c>
      <c r="D480" s="2" t="s">
        <v>530</v>
      </c>
      <c r="E480" s="2" t="s">
        <v>537</v>
      </c>
      <c r="F480" s="2">
        <v>10</v>
      </c>
      <c r="G480" s="2">
        <v>7.93</v>
      </c>
      <c r="H480" s="2">
        <v>79.3</v>
      </c>
      <c r="I480" s="2">
        <v>7.93</v>
      </c>
      <c r="J480" s="2">
        <v>87.23</v>
      </c>
      <c r="K480">
        <f t="shared" si="21"/>
        <v>79.3</v>
      </c>
      <c r="M480" t="str">
        <f t="shared" si="22"/>
        <v>LOW</v>
      </c>
      <c r="N480" t="str">
        <f t="shared" si="23"/>
        <v>LOW</v>
      </c>
    </row>
    <row r="481" spans="1:14" ht="29" x14ac:dyDescent="0.35">
      <c r="A481" s="2">
        <v>435</v>
      </c>
      <c r="B481" s="3">
        <v>45468</v>
      </c>
      <c r="C481" s="2" t="s">
        <v>442</v>
      </c>
      <c r="D481" s="2" t="s">
        <v>530</v>
      </c>
      <c r="E481" s="2" t="s">
        <v>537</v>
      </c>
      <c r="F481" s="2">
        <v>1</v>
      </c>
      <c r="G481" s="2">
        <v>77.36</v>
      </c>
      <c r="H481" s="2">
        <v>77.36</v>
      </c>
      <c r="I481" s="2">
        <v>7.74</v>
      </c>
      <c r="J481" s="2">
        <v>85.1</v>
      </c>
      <c r="K481">
        <f t="shared" si="21"/>
        <v>77.36</v>
      </c>
      <c r="M481" t="str">
        <f t="shared" si="22"/>
        <v>LOW</v>
      </c>
      <c r="N481" t="str">
        <f t="shared" si="23"/>
        <v>LOW</v>
      </c>
    </row>
    <row r="482" spans="1:14" x14ac:dyDescent="0.35">
      <c r="A482" s="2">
        <v>385</v>
      </c>
      <c r="B482" s="3">
        <v>45488</v>
      </c>
      <c r="C482" s="2" t="s">
        <v>392</v>
      </c>
      <c r="D482" s="2" t="s">
        <v>525</v>
      </c>
      <c r="E482" s="2" t="s">
        <v>535</v>
      </c>
      <c r="F482" s="2">
        <v>2</v>
      </c>
      <c r="G482" s="2">
        <v>38.630000000000003</v>
      </c>
      <c r="H482" s="2">
        <v>77.260000000000005</v>
      </c>
      <c r="I482" s="2">
        <v>7.73</v>
      </c>
      <c r="J482" s="2">
        <v>84.99</v>
      </c>
      <c r="K482">
        <f t="shared" si="21"/>
        <v>77.260000000000005</v>
      </c>
      <c r="M482" t="str">
        <f t="shared" si="22"/>
        <v>LOW</v>
      </c>
      <c r="N482" t="str">
        <f t="shared" si="23"/>
        <v>LOW</v>
      </c>
    </row>
    <row r="483" spans="1:14" x14ac:dyDescent="0.35">
      <c r="A483" s="2">
        <v>191</v>
      </c>
      <c r="B483" s="3">
        <v>45530</v>
      </c>
      <c r="C483" s="2" t="s">
        <v>200</v>
      </c>
      <c r="D483" s="2" t="s">
        <v>518</v>
      </c>
      <c r="E483" s="2" t="s">
        <v>533</v>
      </c>
      <c r="F483" s="2">
        <v>1</v>
      </c>
      <c r="G483" s="2">
        <v>76.91</v>
      </c>
      <c r="H483" s="2">
        <v>76.91</v>
      </c>
      <c r="I483" s="2">
        <v>7.69</v>
      </c>
      <c r="J483" s="2">
        <v>84.6</v>
      </c>
      <c r="K483">
        <f t="shared" si="21"/>
        <v>76.91</v>
      </c>
      <c r="M483" t="str">
        <f t="shared" si="22"/>
        <v>LOW</v>
      </c>
      <c r="N483" t="str">
        <f t="shared" si="23"/>
        <v>LOW</v>
      </c>
    </row>
    <row r="484" spans="1:14" x14ac:dyDescent="0.35">
      <c r="A484" s="2">
        <v>456</v>
      </c>
      <c r="B484" s="3">
        <v>45510</v>
      </c>
      <c r="C484" s="2" t="s">
        <v>463</v>
      </c>
      <c r="D484" s="2" t="s">
        <v>519</v>
      </c>
      <c r="E484" s="2" t="s">
        <v>537</v>
      </c>
      <c r="F484" s="2">
        <v>6</v>
      </c>
      <c r="G484" s="2">
        <v>12.45</v>
      </c>
      <c r="H484" s="2">
        <v>74.7</v>
      </c>
      <c r="I484" s="2">
        <v>7.47</v>
      </c>
      <c r="J484" s="2">
        <v>82.17</v>
      </c>
      <c r="K484">
        <f t="shared" si="21"/>
        <v>74.699999999999989</v>
      </c>
      <c r="M484" t="str">
        <f t="shared" si="22"/>
        <v>LOW</v>
      </c>
      <c r="N484" t="str">
        <f t="shared" si="23"/>
        <v>LOW</v>
      </c>
    </row>
    <row r="485" spans="1:14" x14ac:dyDescent="0.35">
      <c r="A485" s="2">
        <v>212</v>
      </c>
      <c r="B485" s="3">
        <v>45343</v>
      </c>
      <c r="C485" s="2" t="s">
        <v>221</v>
      </c>
      <c r="D485" s="2" t="s">
        <v>512</v>
      </c>
      <c r="E485" s="2" t="s">
        <v>534</v>
      </c>
      <c r="F485" s="2">
        <v>5</v>
      </c>
      <c r="G485" s="2">
        <v>14.59</v>
      </c>
      <c r="H485" s="2">
        <v>72.95</v>
      </c>
      <c r="I485" s="2">
        <v>7.3</v>
      </c>
      <c r="J485" s="2">
        <v>80.25</v>
      </c>
      <c r="K485">
        <f t="shared" si="21"/>
        <v>72.95</v>
      </c>
      <c r="M485" t="str">
        <f t="shared" si="22"/>
        <v>LOW</v>
      </c>
      <c r="N485" t="str">
        <f t="shared" si="23"/>
        <v>LOW</v>
      </c>
    </row>
    <row r="486" spans="1:14" ht="29" x14ac:dyDescent="0.35">
      <c r="A486" s="2">
        <v>94</v>
      </c>
      <c r="B486" s="3">
        <v>45486</v>
      </c>
      <c r="C486" s="2" t="s">
        <v>103</v>
      </c>
      <c r="D486" s="2" t="s">
        <v>530</v>
      </c>
      <c r="E486" s="2" t="s">
        <v>537</v>
      </c>
      <c r="F486" s="2">
        <v>2</v>
      </c>
      <c r="G486" s="2">
        <v>35.729999999999997</v>
      </c>
      <c r="H486" s="2">
        <v>71.459999999999994</v>
      </c>
      <c r="I486" s="2">
        <v>7.15</v>
      </c>
      <c r="J486" s="2">
        <v>78.61</v>
      </c>
      <c r="K486">
        <f t="shared" si="21"/>
        <v>71.459999999999994</v>
      </c>
      <c r="M486" t="str">
        <f t="shared" si="22"/>
        <v>LOW</v>
      </c>
      <c r="N486" t="str">
        <f t="shared" si="23"/>
        <v>LOW</v>
      </c>
    </row>
    <row r="487" spans="1:14" x14ac:dyDescent="0.35">
      <c r="A487" s="2">
        <v>339</v>
      </c>
      <c r="B487" s="3">
        <v>45631</v>
      </c>
      <c r="C487" s="2" t="s">
        <v>346</v>
      </c>
      <c r="D487" s="2" t="s">
        <v>509</v>
      </c>
      <c r="E487" s="2" t="s">
        <v>534</v>
      </c>
      <c r="F487" s="2">
        <v>2</v>
      </c>
      <c r="G487" s="2">
        <v>34.6</v>
      </c>
      <c r="H487" s="2">
        <v>69.2</v>
      </c>
      <c r="I487" s="2">
        <v>6.92</v>
      </c>
      <c r="J487" s="2">
        <v>76.12</v>
      </c>
      <c r="K487">
        <f t="shared" si="21"/>
        <v>69.2</v>
      </c>
      <c r="M487" t="str">
        <f t="shared" si="22"/>
        <v>LOW</v>
      </c>
      <c r="N487" t="str">
        <f t="shared" si="23"/>
        <v>LOW</v>
      </c>
    </row>
    <row r="488" spans="1:14" ht="29" x14ac:dyDescent="0.35">
      <c r="A488" s="2">
        <v>79</v>
      </c>
      <c r="B488" s="3">
        <v>45615</v>
      </c>
      <c r="C488" s="2" t="s">
        <v>88</v>
      </c>
      <c r="D488" s="2" t="s">
        <v>528</v>
      </c>
      <c r="E488" s="2" t="s">
        <v>536</v>
      </c>
      <c r="F488" s="2">
        <v>4</v>
      </c>
      <c r="G488" s="2">
        <v>16.2</v>
      </c>
      <c r="H488" s="2">
        <v>64.8</v>
      </c>
      <c r="I488" s="2">
        <v>6.48</v>
      </c>
      <c r="J488" s="2">
        <v>71.28</v>
      </c>
      <c r="K488">
        <f t="shared" si="21"/>
        <v>64.8</v>
      </c>
      <c r="M488" t="str">
        <f t="shared" si="22"/>
        <v>LOW</v>
      </c>
      <c r="N488" t="str">
        <f t="shared" si="23"/>
        <v>LOW</v>
      </c>
    </row>
    <row r="489" spans="1:14" x14ac:dyDescent="0.35">
      <c r="A489" s="2">
        <v>237</v>
      </c>
      <c r="B489" s="3">
        <v>45332</v>
      </c>
      <c r="C489" s="2" t="s">
        <v>246</v>
      </c>
      <c r="D489" s="2" t="s">
        <v>520</v>
      </c>
      <c r="E489" s="2" t="s">
        <v>536</v>
      </c>
      <c r="F489" s="2">
        <v>9</v>
      </c>
      <c r="G489" s="2">
        <v>7.09</v>
      </c>
      <c r="H489" s="2">
        <v>63.81</v>
      </c>
      <c r="I489" s="2">
        <v>6.38</v>
      </c>
      <c r="J489" s="2">
        <v>70.19</v>
      </c>
      <c r="K489">
        <f t="shared" si="21"/>
        <v>63.81</v>
      </c>
      <c r="M489" t="str">
        <f t="shared" si="22"/>
        <v>LOW</v>
      </c>
      <c r="N489" t="str">
        <f t="shared" si="23"/>
        <v>LOW</v>
      </c>
    </row>
    <row r="490" spans="1:14" x14ac:dyDescent="0.35">
      <c r="A490" s="2">
        <v>30</v>
      </c>
      <c r="B490" s="3">
        <v>45494</v>
      </c>
      <c r="C490" s="2" t="s">
        <v>39</v>
      </c>
      <c r="D490" s="2" t="s">
        <v>513</v>
      </c>
      <c r="E490" s="2" t="s">
        <v>535</v>
      </c>
      <c r="F490" s="2">
        <v>5</v>
      </c>
      <c r="G490" s="2">
        <v>12.14</v>
      </c>
      <c r="H490" s="2">
        <v>60.7</v>
      </c>
      <c r="I490" s="2">
        <v>6.07</v>
      </c>
      <c r="J490" s="2">
        <v>66.77</v>
      </c>
      <c r="K490">
        <f t="shared" si="21"/>
        <v>60.7</v>
      </c>
      <c r="M490" t="str">
        <f t="shared" si="22"/>
        <v>LOW</v>
      </c>
      <c r="N490" t="str">
        <f t="shared" si="23"/>
        <v>LOW</v>
      </c>
    </row>
    <row r="491" spans="1:14" x14ac:dyDescent="0.35">
      <c r="A491" s="2">
        <v>70</v>
      </c>
      <c r="B491" s="3">
        <v>45541</v>
      </c>
      <c r="C491" s="2" t="s">
        <v>79</v>
      </c>
      <c r="D491" s="2" t="s">
        <v>511</v>
      </c>
      <c r="E491" s="2" t="s">
        <v>535</v>
      </c>
      <c r="F491" s="2">
        <v>1</v>
      </c>
      <c r="G491" s="2">
        <v>55.44</v>
      </c>
      <c r="H491" s="2">
        <v>55.44</v>
      </c>
      <c r="I491" s="2">
        <v>5.54</v>
      </c>
      <c r="J491" s="2">
        <v>60.98</v>
      </c>
      <c r="K491">
        <f t="shared" si="21"/>
        <v>55.44</v>
      </c>
      <c r="M491" t="str">
        <f t="shared" si="22"/>
        <v>LOW</v>
      </c>
      <c r="N491" t="str">
        <f t="shared" si="23"/>
        <v>LOW</v>
      </c>
    </row>
    <row r="492" spans="1:14" x14ac:dyDescent="0.35">
      <c r="A492" s="2">
        <v>460</v>
      </c>
      <c r="B492" s="3">
        <v>45367</v>
      </c>
      <c r="C492" s="2" t="s">
        <v>467</v>
      </c>
      <c r="D492" s="2" t="s">
        <v>513</v>
      </c>
      <c r="E492" s="2" t="s">
        <v>535</v>
      </c>
      <c r="F492" s="2">
        <v>1</v>
      </c>
      <c r="G492" s="2">
        <v>52.12</v>
      </c>
      <c r="H492" s="2">
        <v>52.12</v>
      </c>
      <c r="I492" s="2">
        <v>5.21</v>
      </c>
      <c r="J492" s="2">
        <v>57.33</v>
      </c>
      <c r="K492">
        <f t="shared" si="21"/>
        <v>52.12</v>
      </c>
      <c r="M492" t="str">
        <f t="shared" si="22"/>
        <v>LOW</v>
      </c>
      <c r="N492" t="str">
        <f t="shared" si="23"/>
        <v>LOW</v>
      </c>
    </row>
    <row r="493" spans="1:14" x14ac:dyDescent="0.35">
      <c r="A493" s="2">
        <v>9</v>
      </c>
      <c r="B493" s="3">
        <v>45382</v>
      </c>
      <c r="C493" s="2" t="s">
        <v>18</v>
      </c>
      <c r="D493" s="2" t="s">
        <v>516</v>
      </c>
      <c r="E493" s="2" t="s">
        <v>535</v>
      </c>
      <c r="F493" s="2">
        <v>4</v>
      </c>
      <c r="G493" s="2">
        <v>11.6</v>
      </c>
      <c r="H493" s="2">
        <v>46.4</v>
      </c>
      <c r="I493" s="2">
        <v>4.6399999999999997</v>
      </c>
      <c r="J493" s="2">
        <v>51.04</v>
      </c>
      <c r="K493">
        <f t="shared" si="21"/>
        <v>46.4</v>
      </c>
      <c r="M493" t="str">
        <f t="shared" si="22"/>
        <v>LOW</v>
      </c>
      <c r="N493" t="str">
        <f t="shared" si="23"/>
        <v>LOW</v>
      </c>
    </row>
    <row r="494" spans="1:14" ht="29" x14ac:dyDescent="0.35">
      <c r="A494" s="2">
        <v>64</v>
      </c>
      <c r="B494" s="3">
        <v>45506</v>
      </c>
      <c r="C494" s="2" t="s">
        <v>73</v>
      </c>
      <c r="D494" s="2" t="s">
        <v>527</v>
      </c>
      <c r="E494" s="2" t="s">
        <v>536</v>
      </c>
      <c r="F494" s="2">
        <v>3</v>
      </c>
      <c r="G494" s="2">
        <v>14.59</v>
      </c>
      <c r="H494" s="2">
        <v>43.77</v>
      </c>
      <c r="I494" s="2">
        <v>4.38</v>
      </c>
      <c r="J494" s="2">
        <v>48.15</v>
      </c>
      <c r="K494">
        <f t="shared" si="21"/>
        <v>43.769999999999996</v>
      </c>
      <c r="M494" t="str">
        <f t="shared" si="22"/>
        <v>LOW</v>
      </c>
      <c r="N494" t="str">
        <f t="shared" si="23"/>
        <v>LOW</v>
      </c>
    </row>
    <row r="495" spans="1:14" x14ac:dyDescent="0.35">
      <c r="A495" s="2">
        <v>305</v>
      </c>
      <c r="B495" s="3">
        <v>45428</v>
      </c>
      <c r="C495" s="2" t="s">
        <v>312</v>
      </c>
      <c r="D495" s="2" t="s">
        <v>516</v>
      </c>
      <c r="E495" s="2" t="s">
        <v>535</v>
      </c>
      <c r="F495" s="2">
        <v>2</v>
      </c>
      <c r="G495" s="2">
        <v>19.53</v>
      </c>
      <c r="H495" s="2">
        <v>39.06</v>
      </c>
      <c r="I495" s="2">
        <v>3.91</v>
      </c>
      <c r="J495" s="2">
        <v>42.97</v>
      </c>
      <c r="K495">
        <f t="shared" si="21"/>
        <v>39.06</v>
      </c>
      <c r="M495" t="str">
        <f t="shared" si="22"/>
        <v>LOW</v>
      </c>
      <c r="N495" t="str">
        <f t="shared" si="23"/>
        <v>LOW</v>
      </c>
    </row>
    <row r="496" spans="1:14" x14ac:dyDescent="0.35">
      <c r="A496" s="2">
        <v>252</v>
      </c>
      <c r="B496" s="3">
        <v>45389</v>
      </c>
      <c r="C496" s="2" t="s">
        <v>261</v>
      </c>
      <c r="D496" s="2" t="s">
        <v>525</v>
      </c>
      <c r="E496" s="2" t="s">
        <v>535</v>
      </c>
      <c r="F496" s="2">
        <v>4</v>
      </c>
      <c r="G496" s="2">
        <v>8.7899999999999991</v>
      </c>
      <c r="H496" s="2">
        <v>35.159999999999997</v>
      </c>
      <c r="I496" s="2">
        <v>3.52</v>
      </c>
      <c r="J496" s="2">
        <v>38.68</v>
      </c>
      <c r="K496">
        <f t="shared" si="21"/>
        <v>35.159999999999997</v>
      </c>
      <c r="M496" t="str">
        <f t="shared" si="22"/>
        <v>LOW</v>
      </c>
      <c r="N496" t="str">
        <f t="shared" si="23"/>
        <v>LOW</v>
      </c>
    </row>
    <row r="497" spans="1:14" ht="29" x14ac:dyDescent="0.35">
      <c r="A497" s="2">
        <v>258</v>
      </c>
      <c r="B497" s="3">
        <v>45342</v>
      </c>
      <c r="C497" s="2" t="s">
        <v>267</v>
      </c>
      <c r="D497" s="2" t="s">
        <v>523</v>
      </c>
      <c r="E497" s="2" t="s">
        <v>534</v>
      </c>
      <c r="F497" s="2">
        <v>2</v>
      </c>
      <c r="G497" s="2">
        <v>16.82</v>
      </c>
      <c r="H497" s="2">
        <v>33.64</v>
      </c>
      <c r="I497" s="2">
        <v>3.36</v>
      </c>
      <c r="J497" s="2">
        <v>37</v>
      </c>
      <c r="K497">
        <f t="shared" si="21"/>
        <v>33.64</v>
      </c>
      <c r="M497" t="str">
        <f t="shared" si="22"/>
        <v>LOW</v>
      </c>
      <c r="N497" t="str">
        <f t="shared" si="23"/>
        <v>LOW</v>
      </c>
    </row>
    <row r="498" spans="1:14" x14ac:dyDescent="0.35">
      <c r="A498" s="2">
        <v>139</v>
      </c>
      <c r="B498" s="3">
        <v>45662</v>
      </c>
      <c r="C498" s="2" t="s">
        <v>148</v>
      </c>
      <c r="D498" s="2" t="s">
        <v>532</v>
      </c>
      <c r="E498" s="2" t="s">
        <v>537</v>
      </c>
      <c r="F498" s="2">
        <v>2</v>
      </c>
      <c r="G498" s="2">
        <v>16.21</v>
      </c>
      <c r="H498" s="2">
        <v>32.42</v>
      </c>
      <c r="I498" s="2">
        <v>3.24</v>
      </c>
      <c r="J498" s="2">
        <v>35.659999999999997</v>
      </c>
      <c r="K498">
        <f t="shared" si="21"/>
        <v>32.42</v>
      </c>
      <c r="M498" t="str">
        <f t="shared" si="22"/>
        <v>LOW</v>
      </c>
      <c r="N498" t="str">
        <f t="shared" si="23"/>
        <v>LOW</v>
      </c>
    </row>
    <row r="499" spans="1:14" x14ac:dyDescent="0.35">
      <c r="A499" s="2">
        <v>333</v>
      </c>
      <c r="B499" s="3">
        <v>45432</v>
      </c>
      <c r="C499" s="2" t="s">
        <v>340</v>
      </c>
      <c r="D499" s="2" t="s">
        <v>521</v>
      </c>
      <c r="E499" s="2" t="s">
        <v>533</v>
      </c>
      <c r="F499" s="2">
        <v>1</v>
      </c>
      <c r="G499" s="2">
        <v>28.28</v>
      </c>
      <c r="H499" s="2">
        <v>28.28</v>
      </c>
      <c r="I499" s="2">
        <v>2.83</v>
      </c>
      <c r="J499" s="2">
        <v>31.11</v>
      </c>
      <c r="K499">
        <f t="shared" si="21"/>
        <v>28.28</v>
      </c>
      <c r="M499" t="str">
        <f t="shared" si="22"/>
        <v>LOW</v>
      </c>
      <c r="N499" t="str">
        <f t="shared" si="23"/>
        <v>LOW</v>
      </c>
    </row>
    <row r="500" spans="1:14" x14ac:dyDescent="0.35">
      <c r="A500" s="2">
        <v>266</v>
      </c>
      <c r="B500" s="3">
        <v>45467</v>
      </c>
      <c r="C500" s="2" t="s">
        <v>227</v>
      </c>
      <c r="D500" s="2" t="s">
        <v>512</v>
      </c>
      <c r="E500" s="2" t="s">
        <v>534</v>
      </c>
      <c r="F500" s="2">
        <v>4</v>
      </c>
      <c r="G500" s="2">
        <v>5.34</v>
      </c>
      <c r="H500" s="2">
        <v>21.36</v>
      </c>
      <c r="I500" s="2">
        <v>2.14</v>
      </c>
      <c r="J500" s="2">
        <v>23.5</v>
      </c>
      <c r="K500">
        <f t="shared" si="21"/>
        <v>21.36</v>
      </c>
      <c r="M500" t="str">
        <f t="shared" si="22"/>
        <v>LOW</v>
      </c>
      <c r="N500" t="str">
        <f t="shared" si="23"/>
        <v>LOW</v>
      </c>
    </row>
    <row r="501" spans="1:14" ht="29" x14ac:dyDescent="0.35">
      <c r="A501" s="2">
        <v>401</v>
      </c>
      <c r="B501" s="3">
        <v>45607</v>
      </c>
      <c r="C501" s="2" t="s">
        <v>408</v>
      </c>
      <c r="D501" s="2" t="s">
        <v>528</v>
      </c>
      <c r="E501" s="2" t="s">
        <v>536</v>
      </c>
      <c r="F501" s="2">
        <v>1</v>
      </c>
      <c r="G501" s="2">
        <v>8.58</v>
      </c>
      <c r="H501" s="2">
        <v>8.58</v>
      </c>
      <c r="I501" s="2">
        <v>0.86</v>
      </c>
      <c r="J501" s="2">
        <v>9.44</v>
      </c>
      <c r="K501">
        <f t="shared" si="21"/>
        <v>8.58</v>
      </c>
      <c r="M501" t="str">
        <f t="shared" si="22"/>
        <v>LOW</v>
      </c>
      <c r="N501" t="str">
        <f t="shared" si="23"/>
        <v>LOW</v>
      </c>
    </row>
  </sheetData>
  <sortState xmlns:xlrd2="http://schemas.microsoft.com/office/spreadsheetml/2017/richdata2" ref="A2:J501">
    <sortCondition descending="1" ref="J1:J501"/>
  </sortState>
  <conditionalFormatting sqref="H2:H1048576">
    <cfRule type="cellIs" dxfId="8" priority="14" operator="lessThan">
      <formula>1000</formula>
    </cfRule>
    <cfRule type="cellIs" dxfId="7" priority="15" operator="greaterThan">
      <formula>1000</formula>
    </cfRule>
  </conditionalFormatting>
  <conditionalFormatting sqref="K2:K1048576">
    <cfRule type="cellIs" dxfId="6" priority="12" operator="lessThan">
      <formula>1000</formula>
    </cfRule>
    <cfRule type="cellIs" dxfId="5" priority="13" operator="greaterThan">
      <formula>1000</formula>
    </cfRule>
  </conditionalFormatting>
  <conditionalFormatting sqref="M2:M1048576">
    <cfRule type="containsText" dxfId="4" priority="5" operator="containsText" text="HiGH">
      <formula>NOT(ISERROR(SEARCH("HiGH",M2)))</formula>
    </cfRule>
  </conditionalFormatting>
  <conditionalFormatting sqref="M2:N1048576">
    <cfRule type="containsText" dxfId="3" priority="1" operator="containsText" text="LOW">
      <formula>NOT(ISERROR(SEARCH("LOW",M2)))</formula>
    </cfRule>
  </conditionalFormatting>
  <conditionalFormatting sqref="N2:N1048576">
    <cfRule type="containsText" dxfId="2" priority="2" operator="containsText" text="MEDIUM">
      <formula>NOT(ISERROR(SEARCH("MEDIUM",N2)))</formula>
    </cfRule>
    <cfRule type="containsText" dxfId="1" priority="3" operator="containsText" text="HIGH">
      <formula>NOT(ISERROR(SEARCH("HIGH",N2)))</formula>
    </cfRule>
  </conditionalFormatting>
  <conditionalFormatting sqref="N2:XFD1048576 A1:K1 O1:XFD1 A2:L1048576">
    <cfRule type="containsBlanks" dxfId="0" priority="11">
      <formula>LEN(TRIM(A1))=0</formula>
    </cfRule>
  </conditionalFormatting>
  <dataValidations count="1">
    <dataValidation type="list" allowBlank="1" showInputMessage="1" showErrorMessage="1" error="You enter the one of the Categories which is not available" sqref="E1:E1048576" xr:uid="{0139F933-65FC-4E2A-B3FF-E71551F5DDF5}">
      <formula1>"Furniture,Clothing,Toys,Groceries,Electronics"</formula1>
    </dataValidation>
  </dataValidations>
  <pageMargins left="0.7" right="0.7" top="0.75" bottom="0.75" header="0.3" footer="0.3"/>
  <pageSetup paperSize="9" orientation="portrait" r:id="rId1"/>
  <headerFooter>
    <oddHeader>&amp;CSALES REPORT</oddHeader>
    <oddFooter>&amp;LMenaka&amp;CPage &amp;P&amp;R&amp;D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 &amp; Charts</vt:lpstr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Menaka</dc:creator>
  <cp:lastModifiedBy>Menaka Basu</cp:lastModifiedBy>
  <dcterms:created xsi:type="dcterms:W3CDTF">2025-02-04T10:14:51Z</dcterms:created>
  <dcterms:modified xsi:type="dcterms:W3CDTF">2026-01-27T16:41:19Z</dcterms:modified>
</cp:coreProperties>
</file>