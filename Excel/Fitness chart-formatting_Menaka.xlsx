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8_{4B51D544-91D0-49F5-B2A8-91752A5D43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B15" i="1"/>
  <c r="C14" i="1"/>
  <c r="D14" i="1"/>
  <c r="E14" i="1"/>
  <c r="F14" i="1"/>
  <c r="G14" i="1"/>
  <c r="H14" i="1"/>
  <c r="I14" i="1"/>
  <c r="B14" i="1"/>
  <c r="C13" i="1"/>
  <c r="D13" i="1"/>
  <c r="E13" i="1"/>
  <c r="F13" i="1"/>
  <c r="G13" i="1"/>
  <c r="H13" i="1"/>
  <c r="I13" i="1"/>
  <c r="B13" i="1"/>
  <c r="C12" i="1"/>
  <c r="D12" i="1"/>
  <c r="E12" i="1"/>
  <c r="F12" i="1"/>
  <c r="G12" i="1"/>
  <c r="H12" i="1"/>
  <c r="I12" i="1"/>
  <c r="B12" i="1"/>
  <c r="C11" i="1"/>
  <c r="D11" i="1"/>
  <c r="E11" i="1"/>
  <c r="F11" i="1"/>
  <c r="G11" i="1"/>
  <c r="H11" i="1"/>
  <c r="I11" i="1"/>
  <c r="B11" i="1"/>
  <c r="C10" i="1"/>
  <c r="D10" i="1"/>
  <c r="E10" i="1"/>
  <c r="F10" i="1"/>
  <c r="G10" i="1"/>
  <c r="H10" i="1"/>
  <c r="I10" i="1"/>
  <c r="B10" i="1"/>
</calcChain>
</file>

<file path=xl/sharedStrings.xml><?xml version="1.0" encoding="utf-8"?>
<sst xmlns="http://schemas.openxmlformats.org/spreadsheetml/2006/main" count="16" uniqueCount="16">
  <si>
    <t>Fitness Progress Chart</t>
  </si>
  <si>
    <t>Date</t>
  </si>
  <si>
    <t>Weight (pounds)</t>
  </si>
  <si>
    <t>Chest (inches)</t>
  </si>
  <si>
    <t>Waist (inches)</t>
  </si>
  <si>
    <t>Hips (inches)</t>
  </si>
  <si>
    <t>Forearm (inches)</t>
  </si>
  <si>
    <t>Estimated Lean Body Weight</t>
  </si>
  <si>
    <t>Estimated Body Fat Weight</t>
  </si>
  <si>
    <t>Estimated Body Fat Percentage</t>
  </si>
  <si>
    <t>Total</t>
  </si>
  <si>
    <t>Average</t>
  </si>
  <si>
    <t>Maximum</t>
  </si>
  <si>
    <t>Minimum</t>
  </si>
  <si>
    <t>No of items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</si>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</sst>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6"/>
      <color rgb="FF00B05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2" fontId="1" fillId="0" borderId="0" xfId="0" applyNumberFormat="1" applyFont="1" applyAlignment="1">
      <alignment horizontal="right" vertical="center"/>
    </xf>
    <xf numFmtId="164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18" sqref="F18"/>
    </sheetView>
  </sheetViews>
  <sheetFormatPr defaultRowHeight="14.5" x14ac:dyDescent="0.35"/>
  <cols>
    <col min="1" max="1" width="16" customWidth="1"/>
  </cols>
  <sheetData>
    <row r="1" spans="1:10" ht="32.5" x14ac:dyDescent="0.35">
      <c r="A1" s="8" t="s">
        <v>0</v>
      </c>
      <c r="B1" s="8"/>
      <c r="C1" s="8"/>
      <c r="D1" s="8"/>
      <c r="E1" s="8"/>
      <c r="F1" s="8"/>
      <c r="G1" s="8"/>
      <c r="H1" s="8"/>
      <c r="I1" s="8"/>
    </row>
    <row r="3" spans="1:10" ht="72.5" x14ac:dyDescent="0.35">
      <c r="A3" s="5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1"/>
    </row>
    <row r="4" spans="1:10" x14ac:dyDescent="0.35">
      <c r="A4" s="7">
        <v>44936</v>
      </c>
      <c r="B4" s="2">
        <v>144</v>
      </c>
      <c r="C4" s="2">
        <v>33</v>
      </c>
      <c r="D4" s="2">
        <v>31</v>
      </c>
      <c r="E4" s="2">
        <v>39.5</v>
      </c>
      <c r="F4" s="2">
        <v>11.5</v>
      </c>
      <c r="G4" s="6">
        <v>103.9</v>
      </c>
      <c r="H4" s="6">
        <v>36.1</v>
      </c>
      <c r="I4" s="6">
        <v>25.8</v>
      </c>
    </row>
    <row r="5" spans="1:10" x14ac:dyDescent="0.35">
      <c r="A5" s="7">
        <v>44946</v>
      </c>
      <c r="B5" s="2">
        <v>139</v>
      </c>
      <c r="C5" s="2">
        <v>32</v>
      </c>
      <c r="D5" s="2">
        <v>31</v>
      </c>
      <c r="E5" s="2">
        <v>39.5</v>
      </c>
      <c r="F5" s="2">
        <v>11.5</v>
      </c>
      <c r="G5" s="6">
        <v>103.2</v>
      </c>
      <c r="H5" s="6">
        <v>35.799999999999997</v>
      </c>
      <c r="I5" s="6">
        <v>25.8</v>
      </c>
    </row>
    <row r="6" spans="1:10" x14ac:dyDescent="0.35">
      <c r="A6" s="7">
        <v>44927</v>
      </c>
      <c r="B6" s="2">
        <v>140</v>
      </c>
      <c r="C6" s="2">
        <v>32</v>
      </c>
      <c r="D6" s="2">
        <v>31</v>
      </c>
      <c r="E6" s="2">
        <v>40</v>
      </c>
      <c r="F6" s="2">
        <v>11.5</v>
      </c>
      <c r="G6" s="6">
        <v>103.8</v>
      </c>
      <c r="H6" s="6">
        <v>36.200000000000003</v>
      </c>
      <c r="I6" s="6">
        <v>25.9</v>
      </c>
    </row>
    <row r="7" spans="1:10" x14ac:dyDescent="0.35">
      <c r="A7" s="7">
        <v>44956</v>
      </c>
      <c r="B7" s="2">
        <v>138</v>
      </c>
      <c r="C7" s="2">
        <v>31</v>
      </c>
      <c r="D7" s="2">
        <v>30</v>
      </c>
      <c r="E7" s="2">
        <v>39</v>
      </c>
      <c r="F7" s="2">
        <v>11</v>
      </c>
      <c r="G7" s="6">
        <v>103.4</v>
      </c>
      <c r="H7" s="6">
        <v>35.6</v>
      </c>
      <c r="I7" s="6">
        <v>25.6</v>
      </c>
    </row>
    <row r="8" spans="1:10" x14ac:dyDescent="0.35">
      <c r="A8" s="7">
        <v>44960</v>
      </c>
      <c r="B8" s="2">
        <v>138</v>
      </c>
      <c r="C8" s="2">
        <v>31</v>
      </c>
      <c r="D8" s="2">
        <v>30</v>
      </c>
      <c r="E8" s="2">
        <v>39</v>
      </c>
      <c r="F8" s="2">
        <v>11</v>
      </c>
      <c r="G8" s="6">
        <v>103.4</v>
      </c>
      <c r="H8" s="6">
        <v>35.6</v>
      </c>
      <c r="I8" s="6">
        <v>25.6</v>
      </c>
    </row>
    <row r="10" spans="1:10" x14ac:dyDescent="0.35">
      <c r="A10" t="s">
        <v>10</v>
      </c>
      <c r="B10">
        <f>SUM(B4:B8)</f>
        <v>699</v>
      </c>
      <c r="C10">
        <f t="shared" ref="C10:I10" si="0">SUM(C4:C8)</f>
        <v>159</v>
      </c>
      <c r="D10">
        <f t="shared" si="0"/>
        <v>153</v>
      </c>
      <c r="E10">
        <f t="shared" si="0"/>
        <v>197</v>
      </c>
      <c r="F10">
        <f t="shared" si="0"/>
        <v>56.5</v>
      </c>
      <c r="G10">
        <f t="shared" si="0"/>
        <v>517.70000000000005</v>
      </c>
      <c r="H10">
        <f t="shared" si="0"/>
        <v>179.3</v>
      </c>
      <c r="I10">
        <f t="shared" si="0"/>
        <v>128.69999999999999</v>
      </c>
    </row>
    <row r="11" spans="1:10" x14ac:dyDescent="0.35">
      <c r="A11" t="s">
        <v>11</v>
      </c>
      <c r="B11">
        <f>AVERAGE(B4:B8)</f>
        <v>139.80000000000001</v>
      </c>
      <c r="C11">
        <f t="shared" ref="C11:I11" si="1">AVERAGE(C4:C8)</f>
        <v>31.8</v>
      </c>
      <c r="D11">
        <f t="shared" si="1"/>
        <v>30.6</v>
      </c>
      <c r="E11">
        <f t="shared" si="1"/>
        <v>39.4</v>
      </c>
      <c r="F11">
        <f t="shared" si="1"/>
        <v>11.3</v>
      </c>
      <c r="G11">
        <f t="shared" si="1"/>
        <v>103.54</v>
      </c>
      <c r="H11">
        <f t="shared" si="1"/>
        <v>35.86</v>
      </c>
      <c r="I11">
        <f t="shared" si="1"/>
        <v>25.74</v>
      </c>
    </row>
    <row r="12" spans="1:10" x14ac:dyDescent="0.35">
      <c r="A12" t="s">
        <v>12</v>
      </c>
      <c r="B12">
        <f>MAX(B4:B8)</f>
        <v>144</v>
      </c>
      <c r="C12">
        <f t="shared" ref="C12:I12" si="2">MAX(C4:C8)</f>
        <v>33</v>
      </c>
      <c r="D12">
        <f t="shared" si="2"/>
        <v>31</v>
      </c>
      <c r="E12">
        <f t="shared" si="2"/>
        <v>40</v>
      </c>
      <c r="F12">
        <f t="shared" si="2"/>
        <v>11.5</v>
      </c>
      <c r="G12">
        <f t="shared" si="2"/>
        <v>103.9</v>
      </c>
      <c r="H12">
        <f t="shared" si="2"/>
        <v>36.200000000000003</v>
      </c>
      <c r="I12">
        <f t="shared" si="2"/>
        <v>25.9</v>
      </c>
    </row>
    <row r="13" spans="1:10" x14ac:dyDescent="0.35">
      <c r="A13" t="s">
        <v>13</v>
      </c>
      <c r="B13">
        <f>MIN(B4:B8)</f>
        <v>138</v>
      </c>
      <c r="C13">
        <f t="shared" ref="C13:I13" si="3">MIN(C4:C8)</f>
        <v>31</v>
      </c>
      <c r="D13">
        <f t="shared" si="3"/>
        <v>30</v>
      </c>
      <c r="E13">
        <f t="shared" si="3"/>
        <v>39</v>
      </c>
      <c r="F13">
        <f t="shared" si="3"/>
        <v>11</v>
      </c>
      <c r="G13">
        <f t="shared" si="3"/>
        <v>103.2</v>
      </c>
      <c r="H13">
        <f t="shared" si="3"/>
        <v>35.6</v>
      </c>
      <c r="I13">
        <f t="shared" si="3"/>
        <v>25.6</v>
      </c>
    </row>
    <row r="14" spans="1:10" x14ac:dyDescent="0.35">
      <c r="A14" t="s">
        <v>14</v>
      </c>
      <c r="B14">
        <f>COUNT(B4:B8)</f>
        <v>5</v>
      </c>
      <c r="C14">
        <f t="shared" ref="C14:I14" si="4">COUNT(C4:C8)</f>
        <v>5</v>
      </c>
      <c r="D14">
        <f t="shared" si="4"/>
        <v>5</v>
      </c>
      <c r="E14">
        <f t="shared" si="4"/>
        <v>5</v>
      </c>
      <c r="F14">
        <f t="shared" si="4"/>
        <v>5</v>
      </c>
      <c r="G14">
        <f t="shared" si="4"/>
        <v>5</v>
      </c>
      <c r="H14">
        <f t="shared" si="4"/>
        <v>5</v>
      </c>
      <c r="I14">
        <f t="shared" si="4"/>
        <v>5</v>
      </c>
    </row>
    <row r="15" spans="1:10" x14ac:dyDescent="0.35">
      <c r="A15" t="s">
        <v>15</v>
      </c>
      <c r="B15">
        <f>ROUND(B11,0)</f>
        <v>140</v>
      </c>
      <c r="C15">
        <f t="shared" ref="C15:I15" si="5">ROUND(C11,0)</f>
        <v>32</v>
      </c>
      <c r="D15">
        <f t="shared" si="5"/>
        <v>31</v>
      </c>
      <c r="E15">
        <f t="shared" si="5"/>
        <v>39</v>
      </c>
      <c r="F15">
        <f t="shared" si="5"/>
        <v>11</v>
      </c>
      <c r="G15">
        <f t="shared" si="5"/>
        <v>104</v>
      </c>
      <c r="H15">
        <f t="shared" si="5"/>
        <v>36</v>
      </c>
      <c r="I15">
        <f t="shared" si="5"/>
        <v>26</v>
      </c>
    </row>
  </sheetData>
  <sortState xmlns:xlrd2="http://schemas.microsoft.com/office/spreadsheetml/2017/richdata2" ref="A4:I8">
    <sortCondition descending="1" ref="C4"/>
  </sortState>
  <mergeCells count="1">
    <mergeCell ref="A1:I1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Touria Sadiq</dc:creator>
  <cp:lastModifiedBy>Menaka Basu</cp:lastModifiedBy>
  <dcterms:created xsi:type="dcterms:W3CDTF">2013-05-02T10:36:00Z</dcterms:created>
  <dcterms:modified xsi:type="dcterms:W3CDTF">2026-01-12T13:34:05Z</dcterms:modified>
</cp:coreProperties>
</file>