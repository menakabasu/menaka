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aka\OneDrive\Documents\IT for Office Level 2\MSEXCELSOFTWARE\"/>
    </mc:Choice>
  </mc:AlternateContent>
  <xr:revisionPtr revIDLastSave="0" documentId="13_ncr:1_{28C3FEB7-9B96-402D-B63F-E8D951B69A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B15" i="1"/>
  <c r="C17" i="1"/>
  <c r="D17" i="1"/>
  <c r="E17" i="1"/>
  <c r="F17" i="1"/>
  <c r="B17" i="1"/>
  <c r="C16" i="1"/>
  <c r="D16" i="1"/>
  <c r="E16" i="1"/>
  <c r="F16" i="1"/>
  <c r="B16" i="1"/>
  <c r="C14" i="1"/>
  <c r="D14" i="1"/>
  <c r="E14" i="1"/>
  <c r="F14" i="1"/>
  <c r="B14" i="1"/>
  <c r="C13" i="1"/>
  <c r="D13" i="1"/>
  <c r="E13" i="1"/>
  <c r="F13" i="1"/>
  <c r="B13" i="1"/>
  <c r="C12" i="1"/>
  <c r="D12" i="1"/>
  <c r="E12" i="1"/>
  <c r="F12" i="1"/>
  <c r="B12" i="1"/>
  <c r="C11" i="1"/>
  <c r="D11" i="1"/>
  <c r="E11" i="1"/>
  <c r="F11" i="1"/>
  <c r="B11" i="1"/>
  <c r="M5" i="1"/>
  <c r="M6" i="1"/>
  <c r="M7" i="1"/>
  <c r="M8" i="1"/>
  <c r="M4" i="1"/>
  <c r="L5" i="1"/>
  <c r="L6" i="1"/>
  <c r="L7" i="1"/>
  <c r="L8" i="1"/>
  <c r="L4" i="1"/>
  <c r="K5" i="1"/>
  <c r="K6" i="1"/>
  <c r="K7" i="1"/>
  <c r="K8" i="1"/>
  <c r="K4" i="1"/>
  <c r="J5" i="1"/>
  <c r="J6" i="1"/>
  <c r="J7" i="1"/>
  <c r="J8" i="1"/>
  <c r="J4" i="1"/>
  <c r="I5" i="1"/>
  <c r="I6" i="1"/>
  <c r="I7" i="1"/>
  <c r="I8" i="1"/>
  <c r="I4" i="1"/>
  <c r="H5" i="1"/>
  <c r="H6" i="1"/>
  <c r="H7" i="1"/>
  <c r="H8" i="1"/>
  <c r="H4" i="1"/>
  <c r="G5" i="1"/>
  <c r="G6" i="1"/>
  <c r="G7" i="1"/>
  <c r="G8" i="1"/>
  <c r="G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7A0A7E-018F-4784-A9F9-8632247E9504}" keepAlive="1" name="Query - Letting" description="Connection to the 'Letting' query in the workbook." type="5" refreshedVersion="0" background="1">
    <dbPr connection="Provider=Microsoft.Mashup.OleDb.1;Data Source=$Workbook$;Location=Letting;Extended Properties=&quot;&quot;" command="SELECT * FROM [Letting]"/>
  </connection>
</connections>
</file>

<file path=xl/sharedStrings.xml><?xml version="1.0" encoding="utf-8"?>
<sst xmlns="http://schemas.openxmlformats.org/spreadsheetml/2006/main" count="31" uniqueCount="22">
  <si>
    <t>Classics</t>
  </si>
  <si>
    <t>Mystery</t>
  </si>
  <si>
    <t>Romance</t>
  </si>
  <si>
    <t>Sci-Fi &amp; Fantasy</t>
  </si>
  <si>
    <t>Young Adult</t>
  </si>
  <si>
    <t>Total</t>
  </si>
  <si>
    <t>Average</t>
  </si>
  <si>
    <t>Max</t>
  </si>
  <si>
    <t>Min</t>
  </si>
  <si>
    <t>BOOKSHOP</t>
  </si>
  <si>
    <t>Mode</t>
  </si>
  <si>
    <t>Genre/Year</t>
  </si>
  <si>
    <t>No of Years</t>
  </si>
  <si>
    <t>No of Genres</t>
  </si>
  <si>
    <t>Round (average value)</t>
  </si>
  <si>
    <t>Generate the formulae for the following fields and apply it to all relevant rows and columns:</t>
  </si>
  <si>
    <t>Maximum</t>
  </si>
  <si>
    <t>Minimum</t>
  </si>
  <si>
    <t>Count (no. of genres/year)</t>
  </si>
  <si>
    <t>Round (the value of Average)</t>
  </si>
  <si>
    <t>Save the file as "Activity 5_ YOUR NAME_BOOKSHOP.xlsx" and submit it.</t>
  </si>
  <si>
    <t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</si>
</sst>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1D2125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120" zoomScaleNormal="120" workbookViewId="0">
      <selection activeCell="E19" sqref="E19"/>
    </sheetView>
  </sheetViews>
  <sheetFormatPr defaultColWidth="9.08984375" defaultRowHeight="14.5" x14ac:dyDescent="0.35"/>
  <cols>
    <col min="1" max="1" width="19.08984375" bestFit="1" customWidth="1"/>
    <col min="2" max="2" width="13.08984375" customWidth="1"/>
    <col min="3" max="3" width="12.6328125" customWidth="1"/>
    <col min="4" max="4" width="12.08984375" customWidth="1"/>
    <col min="5" max="5" width="14.26953125" bestFit="1" customWidth="1"/>
    <col min="6" max="6" width="12.26953125" customWidth="1"/>
    <col min="7" max="7" width="11.81640625" bestFit="1" customWidth="1"/>
    <col min="8" max="8" width="10.7265625" bestFit="1" customWidth="1"/>
    <col min="9" max="9" width="17.7265625" customWidth="1"/>
    <col min="10" max="10" width="10.7265625" bestFit="1" customWidth="1"/>
    <col min="11" max="11" width="12.6328125" customWidth="1"/>
    <col min="12" max="12" width="19.08984375" bestFit="1" customWidth="1"/>
  </cols>
  <sheetData>
    <row r="1" spans="1:13" x14ac:dyDescent="0.35">
      <c r="A1" t="s">
        <v>9</v>
      </c>
    </row>
    <row r="3" spans="1:13" ht="15.5" x14ac:dyDescent="0.35">
      <c r="A3" s="4" t="s">
        <v>11</v>
      </c>
      <c r="B3" s="4">
        <v>2006</v>
      </c>
      <c r="C3" s="4">
        <v>2007</v>
      </c>
      <c r="D3" s="4">
        <v>2008</v>
      </c>
      <c r="E3" s="4">
        <v>2009</v>
      </c>
      <c r="F3" s="4">
        <v>2010</v>
      </c>
      <c r="G3" t="s">
        <v>5</v>
      </c>
      <c r="H3" t="s">
        <v>6</v>
      </c>
      <c r="I3" t="s">
        <v>7</v>
      </c>
      <c r="J3" t="s">
        <v>8</v>
      </c>
      <c r="K3" t="s">
        <v>12</v>
      </c>
      <c r="L3" t="s">
        <v>14</v>
      </c>
      <c r="M3" t="s">
        <v>10</v>
      </c>
    </row>
    <row r="4" spans="1:13" ht="15.5" x14ac:dyDescent="0.35">
      <c r="A4" s="1" t="s">
        <v>0</v>
      </c>
      <c r="B4" s="2">
        <v>18580</v>
      </c>
      <c r="C4" s="2">
        <v>49200</v>
      </c>
      <c r="D4" s="2">
        <v>16366</v>
      </c>
      <c r="E4" s="2">
        <v>103696</v>
      </c>
      <c r="F4" s="2">
        <v>34566</v>
      </c>
      <c r="G4">
        <f>SUM(B4:F4)</f>
        <v>222408</v>
      </c>
      <c r="H4">
        <f>AVERAGE(B4:F4)</f>
        <v>44481.599999999999</v>
      </c>
      <c r="I4">
        <f>MAX(B4:F4)</f>
        <v>103696</v>
      </c>
      <c r="J4">
        <f>MIN(B4:F4)</f>
        <v>16366</v>
      </c>
      <c r="K4">
        <f>COUNT(B3:F3)</f>
        <v>5</v>
      </c>
      <c r="L4">
        <f>ROUND(H4,0)</f>
        <v>44482</v>
      </c>
      <c r="M4" t="e">
        <f>MODE(B4:F4)</f>
        <v>#N/A</v>
      </c>
    </row>
    <row r="5" spans="1:13" ht="15.5" x14ac:dyDescent="0.35">
      <c r="A5" s="1" t="s">
        <v>1</v>
      </c>
      <c r="B5" s="2">
        <v>18580</v>
      </c>
      <c r="C5" s="2">
        <v>49200</v>
      </c>
      <c r="D5" s="2">
        <v>16366</v>
      </c>
      <c r="E5" s="2">
        <v>103696</v>
      </c>
      <c r="F5" s="2">
        <v>34566</v>
      </c>
      <c r="G5">
        <f t="shared" ref="G5:G8" si="0">SUM(B5:F5)</f>
        <v>222408</v>
      </c>
      <c r="H5">
        <f t="shared" ref="H5:H8" si="1">AVERAGE(B5:F5)</f>
        <v>44481.599999999999</v>
      </c>
      <c r="I5">
        <f t="shared" ref="I5:I8" si="2">MAX(B5:F5)</f>
        <v>103696</v>
      </c>
      <c r="J5">
        <f t="shared" ref="J5:J8" si="3">MIN(B5:F5)</f>
        <v>16366</v>
      </c>
      <c r="K5">
        <f t="shared" ref="K5:K8" si="4">COUNT(B4:F4)</f>
        <v>5</v>
      </c>
      <c r="L5">
        <f t="shared" ref="L5:L8" si="5">ROUND(H5,0)</f>
        <v>44482</v>
      </c>
      <c r="M5" t="e">
        <f t="shared" ref="M5:M8" si="6">MODE(B5:F5)</f>
        <v>#N/A</v>
      </c>
    </row>
    <row r="6" spans="1:13" ht="15.5" x14ac:dyDescent="0.35">
      <c r="A6" s="1" t="s">
        <v>2</v>
      </c>
      <c r="B6" s="2">
        <v>94236</v>
      </c>
      <c r="C6" s="3">
        <v>131390</v>
      </c>
      <c r="D6" s="2">
        <v>16366</v>
      </c>
      <c r="E6" s="2">
        <v>103696</v>
      </c>
      <c r="F6" s="2">
        <v>34566</v>
      </c>
      <c r="G6">
        <f t="shared" si="0"/>
        <v>380254</v>
      </c>
      <c r="H6">
        <f t="shared" si="1"/>
        <v>76050.8</v>
      </c>
      <c r="I6">
        <f t="shared" si="2"/>
        <v>131390</v>
      </c>
      <c r="J6">
        <f t="shared" si="3"/>
        <v>16366</v>
      </c>
      <c r="K6">
        <f t="shared" si="4"/>
        <v>5</v>
      </c>
      <c r="L6">
        <f t="shared" si="5"/>
        <v>76051</v>
      </c>
      <c r="M6" t="e">
        <f t="shared" si="6"/>
        <v>#N/A</v>
      </c>
    </row>
    <row r="7" spans="1:13" ht="15.5" x14ac:dyDescent="0.35">
      <c r="A7" s="1" t="s">
        <v>3</v>
      </c>
      <c r="B7" s="2">
        <v>16730</v>
      </c>
      <c r="C7" s="2">
        <v>19730</v>
      </c>
      <c r="D7" s="2">
        <v>16366</v>
      </c>
      <c r="E7" s="2">
        <v>103696</v>
      </c>
      <c r="F7" s="2">
        <v>34566</v>
      </c>
      <c r="G7">
        <f t="shared" si="0"/>
        <v>191088</v>
      </c>
      <c r="H7">
        <f t="shared" si="1"/>
        <v>38217.599999999999</v>
      </c>
      <c r="I7">
        <f t="shared" si="2"/>
        <v>103696</v>
      </c>
      <c r="J7">
        <f t="shared" si="3"/>
        <v>16366</v>
      </c>
      <c r="K7">
        <f t="shared" si="4"/>
        <v>5</v>
      </c>
      <c r="L7">
        <f t="shared" si="5"/>
        <v>38218</v>
      </c>
      <c r="M7" t="e">
        <f t="shared" si="6"/>
        <v>#N/A</v>
      </c>
    </row>
    <row r="8" spans="1:13" ht="15.5" x14ac:dyDescent="0.35">
      <c r="A8" s="1" t="s">
        <v>4</v>
      </c>
      <c r="B8" s="2">
        <v>35358</v>
      </c>
      <c r="C8" s="2">
        <v>42685</v>
      </c>
      <c r="D8" s="2">
        <v>16366</v>
      </c>
      <c r="E8" s="2">
        <v>103696</v>
      </c>
      <c r="F8" s="2">
        <v>34566</v>
      </c>
      <c r="G8">
        <f t="shared" si="0"/>
        <v>232671</v>
      </c>
      <c r="H8">
        <f t="shared" si="1"/>
        <v>46534.2</v>
      </c>
      <c r="I8">
        <f t="shared" si="2"/>
        <v>103696</v>
      </c>
      <c r="J8">
        <f t="shared" si="3"/>
        <v>16366</v>
      </c>
      <c r="K8">
        <f t="shared" si="4"/>
        <v>5</v>
      </c>
      <c r="L8">
        <f t="shared" si="5"/>
        <v>46534</v>
      </c>
      <c r="M8" t="e">
        <f t="shared" si="6"/>
        <v>#N/A</v>
      </c>
    </row>
    <row r="11" spans="1:13" x14ac:dyDescent="0.35">
      <c r="A11" t="s">
        <v>5</v>
      </c>
      <c r="B11">
        <f>SUM(B4:B8)</f>
        <v>183484</v>
      </c>
      <c r="C11">
        <f t="shared" ref="C11:F11" si="7">SUM(C4:C8)</f>
        <v>292205</v>
      </c>
      <c r="D11">
        <f t="shared" si="7"/>
        <v>81830</v>
      </c>
      <c r="E11">
        <f t="shared" si="7"/>
        <v>518480</v>
      </c>
      <c r="F11">
        <f t="shared" si="7"/>
        <v>172830</v>
      </c>
    </row>
    <row r="12" spans="1:13" x14ac:dyDescent="0.35">
      <c r="A12" t="s">
        <v>6</v>
      </c>
      <c r="B12">
        <f>AVERAGE(B4:B8)</f>
        <v>36696.800000000003</v>
      </c>
      <c r="C12">
        <f t="shared" ref="C12:F12" si="8">AVERAGE(C4:C8)</f>
        <v>58441</v>
      </c>
      <c r="D12">
        <f t="shared" si="8"/>
        <v>16366</v>
      </c>
      <c r="E12">
        <f t="shared" si="8"/>
        <v>103696</v>
      </c>
      <c r="F12">
        <f t="shared" si="8"/>
        <v>34566</v>
      </c>
    </row>
    <row r="13" spans="1:13" x14ac:dyDescent="0.35">
      <c r="A13" t="s">
        <v>7</v>
      </c>
      <c r="B13">
        <f>MAX(B4:B8)</f>
        <v>94236</v>
      </c>
      <c r="C13">
        <f t="shared" ref="C13:F13" si="9">MAX(C4:C8)</f>
        <v>131390</v>
      </c>
      <c r="D13">
        <f t="shared" si="9"/>
        <v>16366</v>
      </c>
      <c r="E13">
        <f t="shared" si="9"/>
        <v>103696</v>
      </c>
      <c r="F13">
        <f t="shared" si="9"/>
        <v>34566</v>
      </c>
    </row>
    <row r="14" spans="1:13" x14ac:dyDescent="0.35">
      <c r="A14" t="s">
        <v>8</v>
      </c>
      <c r="B14">
        <f>MIN(B4:B8)</f>
        <v>16730</v>
      </c>
      <c r="C14">
        <f t="shared" ref="C14:F14" si="10">MIN(C4:C8)</f>
        <v>19730</v>
      </c>
      <c r="D14">
        <f t="shared" si="10"/>
        <v>16366</v>
      </c>
      <c r="E14">
        <f t="shared" si="10"/>
        <v>103696</v>
      </c>
      <c r="F14">
        <f t="shared" si="10"/>
        <v>34566</v>
      </c>
    </row>
    <row r="15" spans="1:13" x14ac:dyDescent="0.35">
      <c r="A15" t="s">
        <v>13</v>
      </c>
      <c r="B15">
        <f>COUNT(B4:B8)</f>
        <v>5</v>
      </c>
      <c r="C15">
        <f t="shared" ref="C15:F15" si="11">COUNT(C4:C8)</f>
        <v>5</v>
      </c>
      <c r="D15">
        <f t="shared" si="11"/>
        <v>5</v>
      </c>
      <c r="E15">
        <f t="shared" si="11"/>
        <v>5</v>
      </c>
      <c r="F15">
        <f t="shared" si="11"/>
        <v>5</v>
      </c>
    </row>
    <row r="16" spans="1:13" x14ac:dyDescent="0.35">
      <c r="A16" t="s">
        <v>14</v>
      </c>
      <c r="B16">
        <f>ROUND(B12,0)</f>
        <v>36697</v>
      </c>
      <c r="C16">
        <f t="shared" ref="C16:F16" si="12">ROUND(C12,0)</f>
        <v>58441</v>
      </c>
      <c r="D16">
        <f t="shared" si="12"/>
        <v>16366</v>
      </c>
      <c r="E16">
        <f t="shared" si="12"/>
        <v>103696</v>
      </c>
      <c r="F16">
        <f t="shared" si="12"/>
        <v>34566</v>
      </c>
    </row>
    <row r="17" spans="1:9" x14ac:dyDescent="0.35">
      <c r="A17" t="s">
        <v>10</v>
      </c>
      <c r="B17">
        <f>MODE(B4:B8)</f>
        <v>18580</v>
      </c>
      <c r="C17">
        <f t="shared" ref="C17:F17" si="13">MODE(C4:C8)</f>
        <v>49200</v>
      </c>
      <c r="D17">
        <f t="shared" si="13"/>
        <v>16366</v>
      </c>
      <c r="E17">
        <f t="shared" si="13"/>
        <v>103696</v>
      </c>
      <c r="F17">
        <f t="shared" si="13"/>
        <v>34566</v>
      </c>
    </row>
    <row r="20" spans="1:9" x14ac:dyDescent="0.35">
      <c r="I20" s="8" t="s">
        <v>21</v>
      </c>
    </row>
    <row r="21" spans="1:9" ht="60" x14ac:dyDescent="0.35">
      <c r="I21" s="5" t="s">
        <v>15</v>
      </c>
    </row>
    <row r="22" spans="1:9" x14ac:dyDescent="0.35">
      <c r="I22" s="6"/>
    </row>
    <row r="23" spans="1:9" x14ac:dyDescent="0.35">
      <c r="I23" s="7" t="s">
        <v>5</v>
      </c>
    </row>
    <row r="24" spans="1:9" x14ac:dyDescent="0.35">
      <c r="I24" s="7" t="s">
        <v>6</v>
      </c>
    </row>
    <row r="25" spans="1:9" x14ac:dyDescent="0.35">
      <c r="I25" s="7" t="s">
        <v>16</v>
      </c>
    </row>
    <row r="26" spans="1:9" x14ac:dyDescent="0.35">
      <c r="I26" s="7" t="s">
        <v>17</v>
      </c>
    </row>
    <row r="27" spans="1:9" ht="20" x14ac:dyDescent="0.35">
      <c r="I27" s="7" t="s">
        <v>18</v>
      </c>
    </row>
    <row r="28" spans="1:9" x14ac:dyDescent="0.35">
      <c r="I28" s="7" t="s">
        <v>10</v>
      </c>
    </row>
    <row r="29" spans="1:9" ht="20" x14ac:dyDescent="0.35">
      <c r="I29" s="7" t="s">
        <v>19</v>
      </c>
    </row>
    <row r="30" spans="1:9" x14ac:dyDescent="0.35">
      <c r="I30" s="8"/>
    </row>
    <row r="31" spans="1:9" ht="40" x14ac:dyDescent="0.35">
      <c r="I31" s="5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0A7E1-3360-4998-80B7-F45F008A28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Touria Sadiq</dc:creator>
  <cp:lastModifiedBy>Menaka Basu</cp:lastModifiedBy>
  <dcterms:created xsi:type="dcterms:W3CDTF">2013-05-02T10:45:29Z</dcterms:created>
  <dcterms:modified xsi:type="dcterms:W3CDTF">2026-01-12T13:38:11Z</dcterms:modified>
</cp:coreProperties>
</file>