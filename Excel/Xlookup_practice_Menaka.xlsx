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2756e69f95b45/Documents/IT for Office Level 2/MSEXCELSOFTWARE/"/>
    </mc:Choice>
  </mc:AlternateContent>
  <xr:revisionPtr revIDLastSave="0" documentId="8_{0CBE26B7-BEB1-4278-B5CC-0B1DC224535E}" xr6:coauthVersionLast="47" xr6:coauthVersionMax="47" xr10:uidLastSave="{00000000-0000-0000-0000-000000000000}"/>
  <bookViews>
    <workbookView xWindow="-110" yWindow="-110" windowWidth="19420" windowHeight="10300" activeTab="5" xr2:uid="{3A937A2E-E81F-4D32-BCBE-BA4E827573F7}"/>
  </bookViews>
  <sheets>
    <sheet name="XLOOKUP1" sheetId="1" r:id="rId1"/>
    <sheet name="VLOOKUP1" sheetId="7" r:id="rId2"/>
    <sheet name="XLOOKUP2" sheetId="2" r:id="rId3"/>
    <sheet name="VLOOKUP2" sheetId="9" r:id="rId4"/>
    <sheet name="XLOOKUP3" sheetId="3" r:id="rId5"/>
    <sheet name="VLOOKUP3" sheetId="10" r:id="rId6"/>
    <sheet name="VLOOKUP4" sheetId="4" r:id="rId7"/>
    <sheet name="XLOOKUP4" sheetId="12" r:id="rId8"/>
    <sheet name="XLOOKUP5" sheetId="5" r:id="rId9"/>
    <sheet name="VLOOKUP5" sheetId="13" r:id="rId10"/>
    <sheet name="XLOOKUP6" sheetId="6" r:id="rId11"/>
    <sheet name="VLOOKUP6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3" l="1"/>
  <c r="B8" i="13"/>
  <c r="B10" i="5"/>
  <c r="B8" i="5"/>
  <c r="B16" i="10"/>
  <c r="C16" i="10"/>
  <c r="D16" i="10"/>
  <c r="E16" i="10"/>
  <c r="F16" i="10"/>
  <c r="A16" i="10"/>
  <c r="B12" i="10"/>
  <c r="C12" i="10"/>
  <c r="D12" i="10"/>
  <c r="E12" i="10"/>
  <c r="A12" i="10"/>
  <c r="B14" i="14"/>
  <c r="B15" i="6"/>
  <c r="B13" i="14"/>
  <c r="B10" i="13"/>
  <c r="B12" i="12"/>
  <c r="B12" i="4"/>
  <c r="B15" i="9"/>
  <c r="B11" i="7"/>
  <c r="B14" i="6"/>
  <c r="A12" i="3" a="1"/>
  <c r="A12" i="3" s="1"/>
  <c r="B15" i="2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<sst xmlns="http://schemas.openxmlformats.org/spreadsheetml/2006/main" count="227" uniqueCount="77">
  <si>
    <t>Use XLOOKUP to find the age of Jack</t>
  </si>
  <si>
    <t>Age</t>
  </si>
  <si>
    <t>Name</t>
  </si>
  <si>
    <t>John</t>
  </si>
  <si>
    <t>Michael</t>
  </si>
  <si>
    <t>Jake</t>
  </si>
  <si>
    <t>Russel</t>
  </si>
  <si>
    <t>Jack</t>
  </si>
  <si>
    <t>Dan</t>
  </si>
  <si>
    <t>Name:</t>
  </si>
  <si>
    <t xml:space="preserve">What is Dina's favorite color? </t>
  </si>
  <si>
    <t>Note that some names appear more than once in the table!</t>
  </si>
  <si>
    <t xml:space="preserve">In case of duplicates, return last matching value. </t>
  </si>
  <si>
    <t>City</t>
  </si>
  <si>
    <t>Favorite Color</t>
  </si>
  <si>
    <t>Dina</t>
  </si>
  <si>
    <t>New York</t>
  </si>
  <si>
    <t>Blue</t>
  </si>
  <si>
    <t>London</t>
  </si>
  <si>
    <t>Green</t>
  </si>
  <si>
    <t>Joel</t>
  </si>
  <si>
    <t>Tel Aviv</t>
  </si>
  <si>
    <t>Red</t>
  </si>
  <si>
    <t>Melbourne</t>
  </si>
  <si>
    <t>Yellow</t>
  </si>
  <si>
    <t>Sam</t>
  </si>
  <si>
    <t>Syndey</t>
  </si>
  <si>
    <t>Black</t>
  </si>
  <si>
    <t>Ralph</t>
  </si>
  <si>
    <t>Beijing</t>
  </si>
  <si>
    <t>Dallas</t>
  </si>
  <si>
    <t>Favorite Color:</t>
  </si>
  <si>
    <t>Return all car details for the car with Plate Number 5544667</t>
  </si>
  <si>
    <t>Car</t>
  </si>
  <si>
    <t>Type</t>
  </si>
  <si>
    <t>Plate Number</t>
  </si>
  <si>
    <t>Color</t>
  </si>
  <si>
    <t>Model Year</t>
  </si>
  <si>
    <t>Toyota</t>
  </si>
  <si>
    <t>Corola</t>
  </si>
  <si>
    <t>Nissan</t>
  </si>
  <si>
    <t>X Trail</t>
  </si>
  <si>
    <t>Subaru</t>
  </si>
  <si>
    <t>Impreza</t>
  </si>
  <si>
    <t>Mercedes</t>
  </si>
  <si>
    <t>S 600</t>
  </si>
  <si>
    <t>Honda</t>
  </si>
  <si>
    <t>Civic</t>
  </si>
  <si>
    <t>Plate Number:</t>
  </si>
  <si>
    <t>What is Jacob's favorite food?</t>
  </si>
  <si>
    <t>In case Jacob's name ins't in the table, return "Not found"</t>
  </si>
  <si>
    <t>Favorite food</t>
  </si>
  <si>
    <t>Lobster</t>
  </si>
  <si>
    <t>Falafel</t>
  </si>
  <si>
    <t>Pasta</t>
  </si>
  <si>
    <t>Pizza</t>
  </si>
  <si>
    <t>Hamburger</t>
  </si>
  <si>
    <t>Favorite food:</t>
  </si>
  <si>
    <t>&lt;- Insert formula here</t>
  </si>
  <si>
    <t>Use XLOOKUP to return the gross profit for Q2:</t>
  </si>
  <si>
    <t>Quarter</t>
  </si>
  <si>
    <t>Q1</t>
  </si>
  <si>
    <t>Q2</t>
  </si>
  <si>
    <t>Q3</t>
  </si>
  <si>
    <t>Q4</t>
  </si>
  <si>
    <t>Revenue</t>
  </si>
  <si>
    <t>Cost of sales</t>
  </si>
  <si>
    <t>Gross Profit</t>
  </si>
  <si>
    <t>Return the stock price for the day before and after January 4th 2020.</t>
  </si>
  <si>
    <t>Date</t>
  </si>
  <si>
    <t>Stock Price</t>
  </si>
  <si>
    <t>Price day before</t>
  </si>
  <si>
    <t>Price day after</t>
  </si>
  <si>
    <t>Use VLOOKUP to find the age of Jack</t>
  </si>
  <si>
    <t>Use VLOOKUP to return the gross profit for Q2:</t>
  </si>
  <si>
    <t>using VLOOKUP</t>
  </si>
  <si>
    <t xml:space="preserve"> using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</si>
</sst>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/m/yyyy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  <charset val="177"/>
    </font>
    <font>
      <sz val="11"/>
      <color rgb="FF000000"/>
      <name val="Arial"/>
      <family val="2"/>
      <charset val="177"/>
    </font>
    <font>
      <b/>
      <sz val="11"/>
      <color rgb="FF000000"/>
      <name val="Calibri"/>
      <family val="2"/>
      <charset val="177"/>
      <scheme val="minor"/>
    </font>
    <font>
      <sz val="11"/>
      <color rgb="FF000000"/>
      <name val="Calibri"/>
      <family val="2"/>
      <charset val="177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B4C6E7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6" fillId="3" borderId="12" xfId="0" applyFont="1" applyFill="1" applyBorder="1"/>
    <xf numFmtId="0" fontId="6" fillId="3" borderId="13" xfId="0" applyFont="1" applyFill="1" applyBorder="1"/>
    <xf numFmtId="0" fontId="6" fillId="3" borderId="14" xfId="0" applyFont="1" applyFill="1" applyBorder="1"/>
    <xf numFmtId="0" fontId="7" fillId="0" borderId="15" xfId="0" applyFont="1" applyBorder="1"/>
    <xf numFmtId="0" fontId="7" fillId="0" borderId="1" xfId="0" applyFont="1" applyBorder="1"/>
    <xf numFmtId="0" fontId="7" fillId="0" borderId="16" xfId="0" applyFont="1" applyBorder="1"/>
    <xf numFmtId="0" fontId="7" fillId="4" borderId="0" xfId="0" applyFont="1" applyFill="1"/>
    <xf numFmtId="0" fontId="8" fillId="5" borderId="12" xfId="0" applyFont="1" applyFill="1" applyBorder="1"/>
    <xf numFmtId="0" fontId="8" fillId="5" borderId="13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0" fontId="7" fillId="0" borderId="17" xfId="0" applyFont="1" applyBorder="1"/>
    <xf numFmtId="3" fontId="7" fillId="0" borderId="18" xfId="0" applyNumberFormat="1" applyFont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0" fontId="7" fillId="2" borderId="0" xfId="0" applyFont="1" applyFill="1"/>
    <xf numFmtId="0" fontId="10" fillId="0" borderId="0" xfId="0" applyFont="1"/>
    <xf numFmtId="164" fontId="5" fillId="0" borderId="0" xfId="0" applyNumberFormat="1" applyFont="1"/>
    <xf numFmtId="14" fontId="0" fillId="0" borderId="0" xfId="0" applyNumberFormat="1"/>
    <xf numFmtId="165" fontId="5" fillId="0" borderId="0" xfId="0" applyNumberFormat="1" applyFont="1"/>
    <xf numFmtId="165" fontId="0" fillId="0" borderId="0" xfId="0" applyNumberFormat="1"/>
    <xf numFmtId="165" fontId="5" fillId="4" borderId="0" xfId="0" applyNumberFormat="1" applyFont="1" applyFill="1"/>
    <xf numFmtId="0" fontId="8" fillId="0" borderId="0" xfId="0" applyFont="1"/>
    <xf numFmtId="0" fontId="9" fillId="0" borderId="0" xfId="0" applyFont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77"/>
        <scheme val="none"/>
      </font>
      <numFmt numFmtId="165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21599-CA2F-412A-BB46-7ECE8CF183EC}" name="Table1" displayName="Table1" ref="A2:B9" totalsRowShown="0">
  <autoFilter ref="A2:B9" xr:uid="{B8B21599-CA2F-412A-BB46-7ECE8CF183EC}"/>
  <tableColumns count="2">
    <tableColumn id="1" xr3:uid="{706695A6-9C31-4087-8FCC-0E3AB1C1CA9B}" name="Date" dataDxfId="1"/>
    <tableColumn id="2" xr3:uid="{EBA7DD3A-AA2A-4CAD-98DF-A7645ADE88C9}" name="Stock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8DBA-429D-4FD9-86F0-59D653E64327}">
  <dimension ref="A1:D12"/>
  <sheetViews>
    <sheetView workbookViewId="0">
      <selection activeCell="B23" sqref="B23"/>
    </sheetView>
  </sheetViews>
  <sheetFormatPr defaultRowHeight="14.5" x14ac:dyDescent="0.35"/>
  <cols>
    <col min="1" max="1" width="11.81640625" customWidth="1"/>
    <col min="2" max="2" width="28.81640625" customWidth="1"/>
  </cols>
  <sheetData>
    <row r="1" spans="1:4" x14ac:dyDescent="0.35">
      <c r="A1" s="1" t="s">
        <v>0</v>
      </c>
      <c r="B1" s="2"/>
      <c r="C1" s="46"/>
      <c r="D1" s="46"/>
    </row>
    <row r="2" spans="1:4" x14ac:dyDescent="0.35">
      <c r="A2" s="3" t="s">
        <v>1</v>
      </c>
      <c r="B2" s="3" t="s">
        <v>2</v>
      </c>
      <c r="C2" s="45"/>
      <c r="D2" s="46"/>
    </row>
    <row r="3" spans="1:4" x14ac:dyDescent="0.35">
      <c r="A3" s="4">
        <v>12</v>
      </c>
      <c r="B3" s="4" t="s">
        <v>3</v>
      </c>
      <c r="C3" s="45"/>
      <c r="D3" s="46"/>
    </row>
    <row r="4" spans="1:4" x14ac:dyDescent="0.35">
      <c r="A4" s="4">
        <v>13</v>
      </c>
      <c r="B4" s="4" t="s">
        <v>4</v>
      </c>
      <c r="C4" s="45"/>
      <c r="D4" s="46"/>
    </row>
    <row r="5" spans="1:4" x14ac:dyDescent="0.35">
      <c r="A5" s="4">
        <v>14</v>
      </c>
      <c r="B5" s="4" t="s">
        <v>5</v>
      </c>
      <c r="C5" s="45"/>
      <c r="D5" s="46"/>
    </row>
    <row r="6" spans="1:4" x14ac:dyDescent="0.35">
      <c r="A6" s="4">
        <v>12</v>
      </c>
      <c r="B6" s="4" t="s">
        <v>6</v>
      </c>
      <c r="C6" s="45"/>
      <c r="D6" s="46"/>
    </row>
    <row r="7" spans="1:4" x14ac:dyDescent="0.35">
      <c r="A7" s="4">
        <v>16</v>
      </c>
      <c r="B7" s="4" t="s">
        <v>7</v>
      </c>
      <c r="C7" s="45"/>
      <c r="D7" s="46"/>
    </row>
    <row r="8" spans="1:4" x14ac:dyDescent="0.35">
      <c r="A8" s="4">
        <v>15</v>
      </c>
      <c r="B8" s="4" t="s">
        <v>8</v>
      </c>
      <c r="C8" s="45"/>
      <c r="D8" s="46"/>
    </row>
    <row r="9" spans="1:4" x14ac:dyDescent="0.35">
      <c r="A9" s="2">
        <v>16</v>
      </c>
      <c r="B9" s="2" t="s">
        <v>8</v>
      </c>
      <c r="C9" s="46"/>
      <c r="D9" s="46"/>
    </row>
    <row r="10" spans="1:4" x14ac:dyDescent="0.35">
      <c r="A10" s="2" t="s">
        <v>9</v>
      </c>
      <c r="B10" s="1" t="s">
        <v>3</v>
      </c>
      <c r="C10" s="2"/>
      <c r="D10" s="5"/>
    </row>
    <row r="11" spans="1:4" x14ac:dyDescent="0.35">
      <c r="A11" s="2" t="s">
        <v>1</v>
      </c>
      <c r="B11" s="6">
        <f>_xlfn.XLOOKUP(B10,B3:B9,A3:A9,"NOT FOUND")</f>
        <v>12</v>
      </c>
      <c r="C11" s="2"/>
      <c r="D11" s="1"/>
    </row>
    <row r="12" spans="1:4" x14ac:dyDescent="0.35">
      <c r="A12" s="2"/>
      <c r="B12" s="2"/>
      <c r="C12" s="46"/>
      <c r="D12" s="46"/>
    </row>
  </sheetData>
  <mergeCells count="10">
    <mergeCell ref="C7:D7"/>
    <mergeCell ref="C8:D8"/>
    <mergeCell ref="C9:D9"/>
    <mergeCell ref="C12:D12"/>
    <mergeCell ref="C1:D1"/>
    <mergeCell ref="C2:D2"/>
    <mergeCell ref="C3:D3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4819-B93D-4301-BE2C-E694EA5E2D61}">
  <dimension ref="A1:B11"/>
  <sheetViews>
    <sheetView workbookViewId="0">
      <selection activeCell="B11" sqref="B11"/>
    </sheetView>
  </sheetViews>
  <sheetFormatPr defaultRowHeight="14.5" x14ac:dyDescent="0.35"/>
  <sheetData>
    <row r="1" spans="1:2" x14ac:dyDescent="0.35">
      <c r="A1" s="1" t="s">
        <v>73</v>
      </c>
      <c r="B1" s="2"/>
    </row>
    <row r="2" spans="1:2" x14ac:dyDescent="0.35">
      <c r="A2" s="3" t="s">
        <v>2</v>
      </c>
      <c r="B2" s="3" t="s">
        <v>1</v>
      </c>
    </row>
    <row r="3" spans="1:2" x14ac:dyDescent="0.35">
      <c r="A3" s="4" t="s">
        <v>3</v>
      </c>
      <c r="B3" s="4">
        <v>12</v>
      </c>
    </row>
    <row r="4" spans="1:2" x14ac:dyDescent="0.35">
      <c r="A4" s="4" t="s">
        <v>4</v>
      </c>
      <c r="B4" s="4">
        <v>13</v>
      </c>
    </row>
    <row r="5" spans="1:2" x14ac:dyDescent="0.35">
      <c r="A5" s="4" t="s">
        <v>5</v>
      </c>
      <c r="B5" s="4">
        <v>14</v>
      </c>
    </row>
    <row r="6" spans="1:2" x14ac:dyDescent="0.35">
      <c r="A6" s="4" t="s">
        <v>6</v>
      </c>
      <c r="B6" s="4">
        <v>12</v>
      </c>
    </row>
    <row r="7" spans="1:2" x14ac:dyDescent="0.35">
      <c r="A7" s="4" t="s">
        <v>7</v>
      </c>
      <c r="B7" s="4">
        <v>16</v>
      </c>
    </row>
    <row r="8" spans="1:2" x14ac:dyDescent="0.35">
      <c r="A8" s="4" t="s">
        <v>8</v>
      </c>
      <c r="B8" s="4">
        <v>15</v>
      </c>
    </row>
    <row r="9" spans="1:2" x14ac:dyDescent="0.35">
      <c r="A9" s="2" t="s">
        <v>8</v>
      </c>
      <c r="B9" s="2">
        <v>16</v>
      </c>
    </row>
    <row r="10" spans="1:2" x14ac:dyDescent="0.35">
      <c r="A10" s="2" t="s">
        <v>9</v>
      </c>
      <c r="B10" s="1" t="s">
        <v>7</v>
      </c>
    </row>
    <row r="11" spans="1:2" x14ac:dyDescent="0.35">
      <c r="A11" s="2" t="s">
        <v>1</v>
      </c>
      <c r="B11" s="6">
        <f>VLOOKUP(B10,A3:B9,2,FALSE)</f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9037-36EA-4774-A568-45AE80B1EE98}">
  <dimension ref="A1:D26"/>
  <sheetViews>
    <sheetView topLeftCell="A19" workbookViewId="0">
      <selection activeCell="C39" sqref="C39"/>
    </sheetView>
  </sheetViews>
  <sheetFormatPr defaultRowHeight="14.5" x14ac:dyDescent="0.35"/>
  <cols>
    <col min="1" max="1" width="19.6328125" customWidth="1"/>
    <col min="2" max="2" width="10.453125" bestFit="1" customWidth="1"/>
    <col min="3" max="3" width="19.453125" bestFit="1" customWidth="1"/>
  </cols>
  <sheetData>
    <row r="1" spans="1:4" x14ac:dyDescent="0.35">
      <c r="A1" s="7" t="s">
        <v>10</v>
      </c>
      <c r="B1" s="8"/>
      <c r="C1" s="8"/>
      <c r="D1" s="8"/>
    </row>
    <row r="2" spans="1:4" x14ac:dyDescent="0.35">
      <c r="A2" s="8" t="s">
        <v>11</v>
      </c>
      <c r="B2" s="8"/>
      <c r="C2" s="8"/>
      <c r="D2" s="8"/>
    </row>
    <row r="3" spans="1:4" x14ac:dyDescent="0.35">
      <c r="A3" s="8" t="s">
        <v>12</v>
      </c>
      <c r="B3" s="8"/>
      <c r="C3" s="8"/>
      <c r="D3" s="8"/>
    </row>
    <row r="4" spans="1:4" ht="15" thickBot="1" x14ac:dyDescent="0.4">
      <c r="A4" s="8"/>
      <c r="B4" s="8"/>
      <c r="C4" s="8"/>
      <c r="D4" s="8"/>
    </row>
    <row r="5" spans="1:4" x14ac:dyDescent="0.35">
      <c r="A5" s="9" t="s">
        <v>2</v>
      </c>
      <c r="B5" s="10" t="s">
        <v>13</v>
      </c>
      <c r="C5" s="11" t="s">
        <v>14</v>
      </c>
      <c r="D5" s="8"/>
    </row>
    <row r="6" spans="1:4" x14ac:dyDescent="0.35">
      <c r="A6" s="12" t="s">
        <v>15</v>
      </c>
      <c r="B6" s="13" t="s">
        <v>16</v>
      </c>
      <c r="C6" s="14" t="s">
        <v>17</v>
      </c>
      <c r="D6" s="8"/>
    </row>
    <row r="7" spans="1:4" x14ac:dyDescent="0.35">
      <c r="A7" s="12" t="s">
        <v>5</v>
      </c>
      <c r="B7" s="13" t="s">
        <v>18</v>
      </c>
      <c r="C7" s="14" t="s">
        <v>19</v>
      </c>
      <c r="D7" s="8"/>
    </row>
    <row r="8" spans="1:4" x14ac:dyDescent="0.35">
      <c r="A8" s="12" t="s">
        <v>20</v>
      </c>
      <c r="B8" s="13" t="s">
        <v>21</v>
      </c>
      <c r="C8" s="14" t="s">
        <v>22</v>
      </c>
      <c r="D8" s="8"/>
    </row>
    <row r="9" spans="1:4" x14ac:dyDescent="0.35">
      <c r="A9" s="12" t="s">
        <v>15</v>
      </c>
      <c r="B9" s="13" t="s">
        <v>23</v>
      </c>
      <c r="C9" s="14" t="s">
        <v>24</v>
      </c>
      <c r="D9" s="8"/>
    </row>
    <row r="10" spans="1:4" x14ac:dyDescent="0.35">
      <c r="A10" s="12" t="s">
        <v>25</v>
      </c>
      <c r="B10" s="13" t="s">
        <v>26</v>
      </c>
      <c r="C10" s="14" t="s">
        <v>27</v>
      </c>
      <c r="D10" s="8"/>
    </row>
    <row r="11" spans="1:4" x14ac:dyDescent="0.35">
      <c r="A11" s="12" t="s">
        <v>28</v>
      </c>
      <c r="B11" s="13" t="s">
        <v>29</v>
      </c>
      <c r="C11" s="14" t="s">
        <v>19</v>
      </c>
      <c r="D11" s="8"/>
    </row>
    <row r="12" spans="1:4" ht="15" thickBot="1" x14ac:dyDescent="0.4">
      <c r="A12" s="15" t="s">
        <v>3</v>
      </c>
      <c r="B12" s="16" t="s">
        <v>30</v>
      </c>
      <c r="C12" s="17" t="s">
        <v>22</v>
      </c>
      <c r="D12" s="8"/>
    </row>
    <row r="13" spans="1:4" x14ac:dyDescent="0.35">
      <c r="A13" s="8"/>
      <c r="B13" s="8"/>
      <c r="C13" s="8"/>
      <c r="D13" s="8"/>
    </row>
    <row r="14" spans="1:4" x14ac:dyDescent="0.35">
      <c r="A14" s="8" t="s">
        <v>9</v>
      </c>
      <c r="B14" s="8" t="s">
        <v>15</v>
      </c>
      <c r="C14" s="8"/>
      <c r="D14" s="8"/>
    </row>
    <row r="15" spans="1:4" x14ac:dyDescent="0.35">
      <c r="A15" s="8" t="s">
        <v>31</v>
      </c>
      <c r="B15" s="18" t="str">
        <f>_xlfn.XLOOKUP(B14,A6:A12,C6:C12,"NOT FOUND",-1,-1)</f>
        <v>Yellow</v>
      </c>
      <c r="C15" s="7"/>
      <c r="D15" s="8"/>
    </row>
    <row r="16" spans="1:4" x14ac:dyDescent="0.35">
      <c r="A16" s="8"/>
      <c r="B16" s="8"/>
      <c r="C16" s="8"/>
      <c r="D16" s="8"/>
    </row>
    <row r="22" spans="1:3" x14ac:dyDescent="0.35">
      <c r="A22" s="8"/>
      <c r="B22" s="8"/>
      <c r="C22" s="8"/>
    </row>
    <row r="24" spans="1:3" x14ac:dyDescent="0.35">
      <c r="A24" s="7"/>
      <c r="B24" s="8"/>
      <c r="C24" s="8"/>
    </row>
    <row r="25" spans="1:3" x14ac:dyDescent="0.35">
      <c r="A25" s="8"/>
      <c r="B25" s="8"/>
      <c r="C25" s="8"/>
    </row>
    <row r="26" spans="1:3" x14ac:dyDescent="0.35">
      <c r="A26" s="8"/>
      <c r="B26" s="8"/>
      <c r="C2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AC0E-D491-47FE-A5B2-705949024640}">
  <dimension ref="A1:C20"/>
  <sheetViews>
    <sheetView workbookViewId="0">
      <selection activeCell="B15" sqref="B15"/>
    </sheetView>
  </sheetViews>
  <sheetFormatPr defaultRowHeight="14.5" x14ac:dyDescent="0.35"/>
  <cols>
    <col min="1" max="1" width="18" customWidth="1"/>
    <col min="2" max="2" width="8.90625" bestFit="1" customWidth="1"/>
  </cols>
  <sheetData>
    <row r="1" spans="1:3" x14ac:dyDescent="0.35">
      <c r="A1" s="7" t="s">
        <v>10</v>
      </c>
      <c r="B1" s="8"/>
      <c r="C1" s="8"/>
    </row>
    <row r="2" spans="1:3" x14ac:dyDescent="0.35">
      <c r="A2" s="8" t="s">
        <v>11</v>
      </c>
      <c r="B2" s="8"/>
      <c r="C2" s="8"/>
    </row>
    <row r="3" spans="1:3" x14ac:dyDescent="0.35">
      <c r="A3" s="8" t="s">
        <v>12</v>
      </c>
      <c r="B3" s="8"/>
      <c r="C3" s="8"/>
    </row>
    <row r="4" spans="1:3" ht="15" thickBot="1" x14ac:dyDescent="0.4">
      <c r="A4" s="8"/>
      <c r="B4" s="8"/>
      <c r="C4" s="8"/>
    </row>
    <row r="5" spans="1:3" x14ac:dyDescent="0.35">
      <c r="A5" s="9" t="s">
        <v>2</v>
      </c>
      <c r="B5" s="10" t="s">
        <v>13</v>
      </c>
      <c r="C5" s="11" t="s">
        <v>14</v>
      </c>
    </row>
    <row r="6" spans="1:3" x14ac:dyDescent="0.35">
      <c r="A6" s="12" t="s">
        <v>15</v>
      </c>
      <c r="B6" s="13" t="s">
        <v>16</v>
      </c>
      <c r="C6" s="14" t="s">
        <v>17</v>
      </c>
    </row>
    <row r="7" spans="1:3" x14ac:dyDescent="0.35">
      <c r="A7" s="12" t="s">
        <v>5</v>
      </c>
      <c r="B7" s="13" t="s">
        <v>18</v>
      </c>
      <c r="C7" s="14" t="s">
        <v>19</v>
      </c>
    </row>
    <row r="8" spans="1:3" x14ac:dyDescent="0.35">
      <c r="A8" s="12" t="s">
        <v>20</v>
      </c>
      <c r="B8" s="13" t="s">
        <v>21</v>
      </c>
      <c r="C8" s="14" t="s">
        <v>22</v>
      </c>
    </row>
    <row r="9" spans="1:3" x14ac:dyDescent="0.35">
      <c r="A9" s="12" t="s">
        <v>15</v>
      </c>
      <c r="B9" s="13" t="s">
        <v>23</v>
      </c>
      <c r="C9" s="14" t="s">
        <v>24</v>
      </c>
    </row>
    <row r="10" spans="1:3" x14ac:dyDescent="0.35">
      <c r="A10" s="12" t="s">
        <v>25</v>
      </c>
      <c r="B10" s="13" t="s">
        <v>26</v>
      </c>
      <c r="C10" s="14" t="s">
        <v>27</v>
      </c>
    </row>
    <row r="11" spans="1:3" x14ac:dyDescent="0.35">
      <c r="A11" s="12" t="s">
        <v>28</v>
      </c>
      <c r="B11" s="13" t="s">
        <v>29</v>
      </c>
      <c r="C11" s="14" t="s">
        <v>19</v>
      </c>
    </row>
    <row r="12" spans="1:3" ht="15" thickBot="1" x14ac:dyDescent="0.4">
      <c r="A12" s="15" t="s">
        <v>3</v>
      </c>
      <c r="B12" s="16" t="s">
        <v>30</v>
      </c>
      <c r="C12" s="17" t="s">
        <v>22</v>
      </c>
    </row>
    <row r="13" spans="1:3" x14ac:dyDescent="0.35">
      <c r="A13" s="8"/>
      <c r="B13" s="8"/>
      <c r="C13" s="8"/>
    </row>
    <row r="14" spans="1:3" x14ac:dyDescent="0.35">
      <c r="A14" s="8" t="s">
        <v>9</v>
      </c>
      <c r="B14" s="8" t="s">
        <v>15</v>
      </c>
      <c r="C14" s="8"/>
    </row>
    <row r="15" spans="1:3" x14ac:dyDescent="0.35">
      <c r="A15" s="8" t="s">
        <v>31</v>
      </c>
      <c r="B15" s="18" t="str">
        <f>VLOOKUP(B14,A6:C12,3)</f>
        <v>Yellow</v>
      </c>
      <c r="C15" s="7"/>
    </row>
    <row r="16" spans="1:3" x14ac:dyDescent="0.35">
      <c r="A16" s="8"/>
      <c r="B16" s="8"/>
      <c r="C16" s="8"/>
    </row>
    <row r="18" spans="1:3" x14ac:dyDescent="0.35">
      <c r="A18" s="7"/>
      <c r="B18" s="8"/>
      <c r="C18" s="8"/>
    </row>
    <row r="19" spans="1:3" x14ac:dyDescent="0.35">
      <c r="A19" s="8"/>
      <c r="B19" s="8"/>
      <c r="C19" s="8"/>
    </row>
    <row r="20" spans="1:3" x14ac:dyDescent="0.35">
      <c r="A20" s="8"/>
      <c r="B20" s="8"/>
      <c r="C2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7018-DF78-429D-A78C-D5F1D3D411CD}">
  <dimension ref="A1:E12"/>
  <sheetViews>
    <sheetView workbookViewId="0">
      <selection activeCell="C16" sqref="C16"/>
    </sheetView>
  </sheetViews>
  <sheetFormatPr defaultRowHeight="14.5" x14ac:dyDescent="0.35"/>
  <cols>
    <col min="1" max="1" width="20.6328125" customWidth="1"/>
    <col min="2" max="2" width="8" bestFit="1" customWidth="1"/>
    <col min="3" max="3" width="12.54296875" bestFit="1" customWidth="1"/>
    <col min="4" max="4" width="6.453125" bestFit="1" customWidth="1"/>
    <col min="5" max="5" width="10.54296875" bestFit="1" customWidth="1"/>
  </cols>
  <sheetData>
    <row r="1" spans="1:5" x14ac:dyDescent="0.35">
      <c r="A1" s="19" t="s">
        <v>32</v>
      </c>
      <c r="B1" s="20"/>
      <c r="C1" s="20"/>
      <c r="D1" s="20"/>
      <c r="E1" s="20"/>
    </row>
    <row r="2" spans="1:5" ht="15" thickBot="1" x14ac:dyDescent="0.4">
      <c r="A2" s="20"/>
      <c r="B2" s="20"/>
      <c r="C2" s="20"/>
      <c r="D2" s="20"/>
      <c r="E2" s="20"/>
    </row>
    <row r="3" spans="1:5" x14ac:dyDescent="0.35">
      <c r="A3" s="21" t="s">
        <v>33</v>
      </c>
      <c r="B3" s="22" t="s">
        <v>34</v>
      </c>
      <c r="C3" s="22" t="s">
        <v>35</v>
      </c>
      <c r="D3" s="22" t="s">
        <v>36</v>
      </c>
      <c r="E3" s="23" t="s">
        <v>37</v>
      </c>
    </row>
    <row r="4" spans="1:5" x14ac:dyDescent="0.35">
      <c r="A4" s="24" t="s">
        <v>38</v>
      </c>
      <c r="B4" s="25" t="s">
        <v>39</v>
      </c>
      <c r="C4" s="25">
        <v>3343453</v>
      </c>
      <c r="D4" s="25" t="s">
        <v>22</v>
      </c>
      <c r="E4" s="26">
        <v>2013</v>
      </c>
    </row>
    <row r="5" spans="1:5" x14ac:dyDescent="0.35">
      <c r="A5" s="24" t="s">
        <v>40</v>
      </c>
      <c r="B5" s="25" t="s">
        <v>41</v>
      </c>
      <c r="C5" s="25">
        <v>5535334</v>
      </c>
      <c r="D5" s="25" t="s">
        <v>27</v>
      </c>
      <c r="E5" s="26">
        <v>2015</v>
      </c>
    </row>
    <row r="6" spans="1:5" x14ac:dyDescent="0.35">
      <c r="A6" s="24" t="s">
        <v>42</v>
      </c>
      <c r="B6" s="25" t="s">
        <v>43</v>
      </c>
      <c r="C6" s="25">
        <v>6474574</v>
      </c>
      <c r="D6" s="25" t="s">
        <v>22</v>
      </c>
      <c r="E6" s="26">
        <v>2012</v>
      </c>
    </row>
    <row r="7" spans="1:5" x14ac:dyDescent="0.35">
      <c r="A7" s="24" t="s">
        <v>44</v>
      </c>
      <c r="B7" s="25" t="s">
        <v>45</v>
      </c>
      <c r="C7" s="25">
        <v>5544667</v>
      </c>
      <c r="D7" s="25" t="s">
        <v>24</v>
      </c>
      <c r="E7" s="26">
        <v>2014</v>
      </c>
    </row>
    <row r="8" spans="1:5" x14ac:dyDescent="0.35">
      <c r="A8" s="24" t="s">
        <v>46</v>
      </c>
      <c r="B8" s="25" t="s">
        <v>47</v>
      </c>
      <c r="C8" s="25">
        <v>4356434</v>
      </c>
      <c r="D8" s="25" t="s">
        <v>17</v>
      </c>
      <c r="E8" s="26">
        <v>2015</v>
      </c>
    </row>
    <row r="9" spans="1:5" x14ac:dyDescent="0.35">
      <c r="A9" s="20"/>
      <c r="B9" s="20"/>
      <c r="C9" s="20"/>
      <c r="D9" s="20"/>
      <c r="E9" s="20"/>
    </row>
    <row r="10" spans="1:5" ht="15" thickBot="1" x14ac:dyDescent="0.4">
      <c r="A10" s="20" t="s">
        <v>48</v>
      </c>
      <c r="B10" s="25">
        <v>4356434</v>
      </c>
      <c r="C10" s="20"/>
      <c r="D10" s="20"/>
      <c r="E10" s="20"/>
    </row>
    <row r="11" spans="1:5" x14ac:dyDescent="0.35">
      <c r="A11" s="21" t="s">
        <v>33</v>
      </c>
      <c r="B11" s="22" t="s">
        <v>34</v>
      </c>
      <c r="C11" s="22" t="s">
        <v>35</v>
      </c>
      <c r="D11" s="22" t="s">
        <v>36</v>
      </c>
      <c r="E11" s="23" t="s">
        <v>37</v>
      </c>
    </row>
    <row r="12" spans="1:5" x14ac:dyDescent="0.35">
      <c r="A12" s="19" t="str" cm="1">
        <f t="array" ref="A12:E12">_xlfn.XLOOKUP(B10,C4:C8,A4:E8,0,0)</f>
        <v>Honda</v>
      </c>
      <c r="B12" s="20" t="str">
        <v>Civic</v>
      </c>
      <c r="C12" s="20">
        <v>4356434</v>
      </c>
      <c r="D12" s="20" t="str">
        <v>Blue</v>
      </c>
      <c r="E12" s="20">
        <v>2015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00BE-0599-41C1-A255-AEA66DAD80C3}">
  <dimension ref="A1:F16"/>
  <sheetViews>
    <sheetView tabSelected="1" topLeftCell="A4" workbookViewId="0">
      <selection activeCell="A19" sqref="A19"/>
    </sheetView>
  </sheetViews>
  <sheetFormatPr defaultRowHeight="14.5" x14ac:dyDescent="0.35"/>
  <cols>
    <col min="1" max="1" width="12.36328125" bestFit="1" customWidth="1"/>
    <col min="2" max="2" width="51.6328125" bestFit="1" customWidth="1"/>
    <col min="3" max="4" width="12.36328125" bestFit="1" customWidth="1"/>
    <col min="5" max="5" width="10.36328125" customWidth="1"/>
    <col min="6" max="6" width="10.36328125" bestFit="1" customWidth="1"/>
  </cols>
  <sheetData>
    <row r="1" spans="1:6" x14ac:dyDescent="0.35">
      <c r="A1" s="20"/>
      <c r="B1" s="19" t="s">
        <v>32</v>
      </c>
      <c r="C1" s="43" t="s">
        <v>75</v>
      </c>
      <c r="D1" s="20"/>
      <c r="E1" s="20"/>
      <c r="F1" s="20"/>
    </row>
    <row r="2" spans="1:6" ht="15" thickBot="1" x14ac:dyDescent="0.4">
      <c r="A2" s="20"/>
      <c r="B2" s="20"/>
      <c r="C2" s="20"/>
      <c r="D2" s="20"/>
      <c r="E2" s="20"/>
      <c r="F2" s="20"/>
    </row>
    <row r="3" spans="1:6" x14ac:dyDescent="0.35">
      <c r="A3" s="22" t="s">
        <v>35</v>
      </c>
      <c r="B3" s="21" t="s">
        <v>33</v>
      </c>
      <c r="C3" s="22" t="s">
        <v>34</v>
      </c>
      <c r="D3" s="22" t="s">
        <v>35</v>
      </c>
      <c r="E3" s="22" t="s">
        <v>36</v>
      </c>
      <c r="F3" s="23" t="s">
        <v>37</v>
      </c>
    </row>
    <row r="4" spans="1:6" x14ac:dyDescent="0.35">
      <c r="A4" s="25">
        <v>3343453</v>
      </c>
      <c r="B4" s="24" t="s">
        <v>38</v>
      </c>
      <c r="C4" s="25" t="s">
        <v>39</v>
      </c>
      <c r="D4" s="25">
        <v>3343453</v>
      </c>
      <c r="E4" s="25" t="s">
        <v>22</v>
      </c>
      <c r="F4" s="26">
        <v>2013</v>
      </c>
    </row>
    <row r="5" spans="1:6" x14ac:dyDescent="0.35">
      <c r="A5" s="25">
        <v>5535334</v>
      </c>
      <c r="B5" s="24" t="s">
        <v>40</v>
      </c>
      <c r="C5" s="25" t="s">
        <v>41</v>
      </c>
      <c r="D5" s="25">
        <v>5535334</v>
      </c>
      <c r="E5" s="25" t="s">
        <v>27</v>
      </c>
      <c r="F5" s="26">
        <v>2015</v>
      </c>
    </row>
    <row r="6" spans="1:6" x14ac:dyDescent="0.35">
      <c r="A6" s="25">
        <v>6474574</v>
      </c>
      <c r="B6" s="24" t="s">
        <v>42</v>
      </c>
      <c r="C6" s="25" t="s">
        <v>43</v>
      </c>
      <c r="D6" s="25">
        <v>6474574</v>
      </c>
      <c r="E6" s="25" t="s">
        <v>22</v>
      </c>
      <c r="F6" s="26">
        <v>2012</v>
      </c>
    </row>
    <row r="7" spans="1:6" x14ac:dyDescent="0.35">
      <c r="A7" s="25">
        <v>5544667</v>
      </c>
      <c r="B7" s="24" t="s">
        <v>44</v>
      </c>
      <c r="C7" s="25" t="s">
        <v>45</v>
      </c>
      <c r="D7" s="25">
        <v>5544667</v>
      </c>
      <c r="E7" s="25" t="s">
        <v>24</v>
      </c>
      <c r="F7" s="26">
        <v>2014</v>
      </c>
    </row>
    <row r="8" spans="1:6" x14ac:dyDescent="0.35">
      <c r="A8" s="25">
        <v>4356434</v>
      </c>
      <c r="B8" s="24" t="s">
        <v>46</v>
      </c>
      <c r="C8" s="25" t="s">
        <v>47</v>
      </c>
      <c r="D8" s="25">
        <v>4356434</v>
      </c>
      <c r="E8" s="25" t="s">
        <v>17</v>
      </c>
      <c r="F8" s="26">
        <v>2015</v>
      </c>
    </row>
    <row r="9" spans="1:6" x14ac:dyDescent="0.35">
      <c r="A9" s="20"/>
      <c r="B9" s="20"/>
      <c r="C9" s="20"/>
      <c r="D9" s="20"/>
      <c r="E9" s="20"/>
      <c r="F9" s="20"/>
    </row>
    <row r="10" spans="1:6" ht="15" thickBot="1" x14ac:dyDescent="0.4">
      <c r="A10" s="20"/>
      <c r="B10" s="20" t="s">
        <v>48</v>
      </c>
      <c r="C10" s="25">
        <v>4356434</v>
      </c>
      <c r="D10" s="20"/>
      <c r="E10" s="20"/>
      <c r="F10" s="20"/>
    </row>
    <row r="11" spans="1:6" x14ac:dyDescent="0.35">
      <c r="A11" s="21" t="s">
        <v>33</v>
      </c>
      <c r="B11" s="22" t="s">
        <v>34</v>
      </c>
      <c r="C11" s="22" t="s">
        <v>35</v>
      </c>
      <c r="D11" s="22" t="s">
        <v>36</v>
      </c>
      <c r="E11" s="23" t="s">
        <v>37</v>
      </c>
    </row>
    <row r="12" spans="1:6" x14ac:dyDescent="0.35">
      <c r="A12" s="19" t="str">
        <f>VLOOKUP($C$10,$A$4:$F$8,COLUMN(B4),FALSE)</f>
        <v>Honda</v>
      </c>
      <c r="B12" s="19" t="str">
        <f t="shared" ref="B12:E12" si="0">VLOOKUP($C$10,$A$4:$F$8,COLUMN(C4),FALSE)</f>
        <v>Civic</v>
      </c>
      <c r="C12" s="19">
        <f t="shared" si="0"/>
        <v>4356434</v>
      </c>
      <c r="D12" s="19" t="str">
        <f t="shared" si="0"/>
        <v>Blue</v>
      </c>
      <c r="E12" s="19">
        <f t="shared" si="0"/>
        <v>2015</v>
      </c>
    </row>
    <row r="14" spans="1:6" ht="15" thickBot="1" x14ac:dyDescent="0.4"/>
    <row r="15" spans="1:6" x14ac:dyDescent="0.35">
      <c r="A15" s="22" t="s">
        <v>35</v>
      </c>
      <c r="B15" s="21" t="s">
        <v>33</v>
      </c>
      <c r="C15" s="22" t="s">
        <v>34</v>
      </c>
      <c r="D15" s="22" t="s">
        <v>35</v>
      </c>
      <c r="E15" s="22" t="s">
        <v>36</v>
      </c>
      <c r="F15" s="23" t="s">
        <v>37</v>
      </c>
    </row>
    <row r="16" spans="1:6" x14ac:dyDescent="0.35">
      <c r="A16" s="19">
        <f>VLOOKUP($C$10,$A$4:$F$8,COLUMN(A4),FALSE)</f>
        <v>4356434</v>
      </c>
      <c r="B16" s="19" t="str">
        <f t="shared" ref="B16:F16" si="1">VLOOKUP($C$10,$A$4:$F$8,COLUMN(B4),FALSE)</f>
        <v>Honda</v>
      </c>
      <c r="C16" s="19" t="str">
        <f t="shared" si="1"/>
        <v>Civic</v>
      </c>
      <c r="D16" s="19">
        <f t="shared" si="1"/>
        <v>4356434</v>
      </c>
      <c r="E16" s="19" t="str">
        <f t="shared" si="1"/>
        <v>Blue</v>
      </c>
      <c r="F16" s="19">
        <f t="shared" si="1"/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80C2-D5B9-4938-94DB-8671B2AF31C0}">
  <dimension ref="A1:D12"/>
  <sheetViews>
    <sheetView topLeftCell="B1" workbookViewId="0">
      <selection activeCell="B12" sqref="B12"/>
    </sheetView>
  </sheetViews>
  <sheetFormatPr defaultRowHeight="14.5" x14ac:dyDescent="0.35"/>
  <cols>
    <col min="1" max="1" width="16.36328125" customWidth="1"/>
    <col min="2" max="2" width="14" bestFit="1" customWidth="1"/>
  </cols>
  <sheetData>
    <row r="1" spans="1:4" x14ac:dyDescent="0.35">
      <c r="A1" s="8" t="s">
        <v>49</v>
      </c>
      <c r="B1" s="8"/>
      <c r="C1" s="8"/>
      <c r="D1" s="8"/>
    </row>
    <row r="2" spans="1:4" x14ac:dyDescent="0.35">
      <c r="A2" s="8" t="s">
        <v>50</v>
      </c>
      <c r="B2" s="8"/>
      <c r="C2" s="8"/>
      <c r="D2" s="8"/>
    </row>
    <row r="3" spans="1:4" ht="15" thickBot="1" x14ac:dyDescent="0.4">
      <c r="A3" s="8"/>
      <c r="B3" s="8"/>
      <c r="C3" s="8"/>
      <c r="D3" s="8"/>
    </row>
    <row r="4" spans="1:4" x14ac:dyDescent="0.35">
      <c r="A4" s="9" t="s">
        <v>2</v>
      </c>
      <c r="B4" s="10" t="s">
        <v>51</v>
      </c>
      <c r="C4" s="8"/>
      <c r="D4" s="8"/>
    </row>
    <row r="5" spans="1:4" x14ac:dyDescent="0.35">
      <c r="A5" s="12" t="s">
        <v>15</v>
      </c>
      <c r="B5" s="13" t="s">
        <v>52</v>
      </c>
      <c r="C5" s="8"/>
      <c r="D5" s="8"/>
    </row>
    <row r="6" spans="1:4" x14ac:dyDescent="0.35">
      <c r="A6" s="12" t="s">
        <v>5</v>
      </c>
      <c r="B6" s="13" t="s">
        <v>53</v>
      </c>
      <c r="C6" s="8"/>
      <c r="D6" s="8"/>
    </row>
    <row r="7" spans="1:4" x14ac:dyDescent="0.35">
      <c r="A7" s="12" t="s">
        <v>20</v>
      </c>
      <c r="B7" s="13" t="s">
        <v>54</v>
      </c>
      <c r="C7" s="8"/>
      <c r="D7" s="8"/>
    </row>
    <row r="8" spans="1:4" x14ac:dyDescent="0.35">
      <c r="A8" s="12" t="s">
        <v>15</v>
      </c>
      <c r="B8" s="13" t="s">
        <v>55</v>
      </c>
      <c r="C8" s="8"/>
      <c r="D8" s="8"/>
    </row>
    <row r="9" spans="1:4" x14ac:dyDescent="0.35">
      <c r="A9" s="12" t="s">
        <v>25</v>
      </c>
      <c r="B9" s="13" t="s">
        <v>56</v>
      </c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 t="s">
        <v>9</v>
      </c>
      <c r="B11" s="8" t="s">
        <v>15</v>
      </c>
      <c r="C11" s="8"/>
      <c r="D11" s="8"/>
    </row>
    <row r="12" spans="1:4" x14ac:dyDescent="0.35">
      <c r="A12" s="8" t="s">
        <v>57</v>
      </c>
      <c r="B12" s="18" t="str">
        <f>VLOOKUP(B11,A5:B9,2,FALSE)</f>
        <v>Lobster</v>
      </c>
      <c r="C12" s="7" t="s">
        <v>58</v>
      </c>
      <c r="D12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8F2-B8F9-469A-B32B-6995F5CAD251}">
  <dimension ref="A1:D12"/>
  <sheetViews>
    <sheetView workbookViewId="0">
      <selection activeCell="B12" sqref="B12"/>
    </sheetView>
  </sheetViews>
  <sheetFormatPr defaultRowHeight="14.5" x14ac:dyDescent="0.35"/>
  <sheetData>
    <row r="1" spans="1:4" x14ac:dyDescent="0.35">
      <c r="A1" s="8" t="s">
        <v>49</v>
      </c>
      <c r="B1" s="8"/>
      <c r="C1" s="8"/>
      <c r="D1" s="8"/>
    </row>
    <row r="2" spans="1:4" x14ac:dyDescent="0.35">
      <c r="A2" s="8" t="s">
        <v>50</v>
      </c>
      <c r="B2" s="8"/>
      <c r="C2" s="8"/>
      <c r="D2" s="8"/>
    </row>
    <row r="3" spans="1:4" ht="15" thickBot="1" x14ac:dyDescent="0.4">
      <c r="A3" s="8"/>
      <c r="B3" s="8"/>
      <c r="C3" s="8"/>
      <c r="D3" s="8"/>
    </row>
    <row r="4" spans="1:4" x14ac:dyDescent="0.35">
      <c r="A4" s="9" t="s">
        <v>2</v>
      </c>
      <c r="B4" s="10" t="s">
        <v>51</v>
      </c>
      <c r="C4" s="8"/>
      <c r="D4" s="8"/>
    </row>
    <row r="5" spans="1:4" x14ac:dyDescent="0.35">
      <c r="A5" s="12" t="s">
        <v>15</v>
      </c>
      <c r="B5" s="13" t="s">
        <v>52</v>
      </c>
      <c r="C5" s="8"/>
      <c r="D5" s="8"/>
    </row>
    <row r="6" spans="1:4" x14ac:dyDescent="0.35">
      <c r="A6" s="12" t="s">
        <v>5</v>
      </c>
      <c r="B6" s="13" t="s">
        <v>53</v>
      </c>
      <c r="C6" s="8"/>
      <c r="D6" s="8"/>
    </row>
    <row r="7" spans="1:4" x14ac:dyDescent="0.35">
      <c r="A7" s="12" t="s">
        <v>20</v>
      </c>
      <c r="B7" s="13" t="s">
        <v>54</v>
      </c>
      <c r="C7" s="8"/>
      <c r="D7" s="8"/>
    </row>
    <row r="8" spans="1:4" x14ac:dyDescent="0.35">
      <c r="A8" s="12" t="s">
        <v>15</v>
      </c>
      <c r="B8" s="13" t="s">
        <v>55</v>
      </c>
      <c r="C8" s="8"/>
      <c r="D8" s="8"/>
    </row>
    <row r="9" spans="1:4" x14ac:dyDescent="0.35">
      <c r="A9" s="12" t="s">
        <v>25</v>
      </c>
      <c r="B9" s="13" t="s">
        <v>56</v>
      </c>
      <c r="C9" s="8"/>
      <c r="D9" s="8"/>
    </row>
    <row r="10" spans="1:4" x14ac:dyDescent="0.35">
      <c r="A10" s="8"/>
      <c r="B10" s="8"/>
      <c r="C10" s="8"/>
      <c r="D10" s="8"/>
    </row>
    <row r="11" spans="1:4" x14ac:dyDescent="0.35">
      <c r="A11" s="8" t="s">
        <v>9</v>
      </c>
      <c r="B11" s="8" t="s">
        <v>15</v>
      </c>
      <c r="C11" s="8"/>
      <c r="D11" s="8"/>
    </row>
    <row r="12" spans="1:4" x14ac:dyDescent="0.35">
      <c r="A12" s="8" t="s">
        <v>57</v>
      </c>
      <c r="B12" s="18" t="str">
        <f>_xlfn.XLOOKUP(B11,A5:A9,B5:B9,0,0,1)</f>
        <v>Lobster</v>
      </c>
      <c r="C12" s="7" t="s">
        <v>58</v>
      </c>
      <c r="D1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4681-853C-4687-A946-EBD3B722082B}">
  <dimension ref="A1:E10"/>
  <sheetViews>
    <sheetView workbookViewId="0">
      <selection activeCell="B10" sqref="B10"/>
    </sheetView>
  </sheetViews>
  <sheetFormatPr defaultRowHeight="14.5" x14ac:dyDescent="0.35"/>
  <sheetData>
    <row r="1" spans="1:5" x14ac:dyDescent="0.35">
      <c r="A1" s="20" t="s">
        <v>59</v>
      </c>
      <c r="B1" s="20"/>
      <c r="C1" s="20"/>
      <c r="D1" s="20"/>
      <c r="E1" s="20"/>
    </row>
    <row r="2" spans="1:5" ht="15" thickBot="1" x14ac:dyDescent="0.4">
      <c r="A2" s="20"/>
      <c r="B2" s="20"/>
      <c r="C2" s="20"/>
      <c r="D2" s="20"/>
      <c r="E2" s="20"/>
    </row>
    <row r="3" spans="1:5" x14ac:dyDescent="0.35">
      <c r="A3" s="28" t="s">
        <v>60</v>
      </c>
      <c r="B3" s="29" t="s">
        <v>61</v>
      </c>
      <c r="C3" s="29" t="s">
        <v>62</v>
      </c>
      <c r="D3" s="29" t="s">
        <v>63</v>
      </c>
      <c r="E3" s="30" t="s">
        <v>64</v>
      </c>
    </row>
    <row r="4" spans="1:5" x14ac:dyDescent="0.35">
      <c r="A4" s="24" t="s">
        <v>65</v>
      </c>
      <c r="B4" s="31">
        <v>174310</v>
      </c>
      <c r="C4" s="31">
        <v>139722</v>
      </c>
      <c r="D4" s="31">
        <v>154988</v>
      </c>
      <c r="E4" s="32">
        <v>181816</v>
      </c>
    </row>
    <row r="5" spans="1:5" x14ac:dyDescent="0.35">
      <c r="A5" s="24" t="s">
        <v>66</v>
      </c>
      <c r="B5" s="31">
        <v>112921</v>
      </c>
      <c r="C5" s="31">
        <v>112466</v>
      </c>
      <c r="D5" s="31">
        <v>113796</v>
      </c>
      <c r="E5" s="32">
        <v>101873</v>
      </c>
    </row>
    <row r="6" spans="1:5" ht="15" thickBot="1" x14ac:dyDescent="0.4">
      <c r="A6" s="33" t="s">
        <v>67</v>
      </c>
      <c r="B6" s="34">
        <v>61389</v>
      </c>
      <c r="C6" s="34">
        <v>27256</v>
      </c>
      <c r="D6" s="34">
        <v>41192</v>
      </c>
      <c r="E6" s="35">
        <v>79943</v>
      </c>
    </row>
    <row r="7" spans="1:5" x14ac:dyDescent="0.35">
      <c r="A7" s="20"/>
      <c r="B7" s="20"/>
      <c r="C7" s="20"/>
      <c r="D7" s="20"/>
      <c r="E7" s="20"/>
    </row>
    <row r="8" spans="1:5" x14ac:dyDescent="0.35">
      <c r="A8" s="20" t="s">
        <v>67</v>
      </c>
      <c r="B8" s="20">
        <f>_xlfn.XLOOKUP(A8,A4:A6,C4:C6)</f>
        <v>27256</v>
      </c>
      <c r="C8" s="20"/>
      <c r="D8" s="20"/>
      <c r="E8" s="20"/>
    </row>
    <row r="9" spans="1:5" x14ac:dyDescent="0.35">
      <c r="A9" s="20"/>
      <c r="B9" s="20"/>
      <c r="C9" s="20"/>
      <c r="D9" s="20"/>
      <c r="E9" s="20"/>
    </row>
    <row r="10" spans="1:5" x14ac:dyDescent="0.35">
      <c r="A10" s="27" t="s">
        <v>63</v>
      </c>
      <c r="B10" s="36">
        <f>_xlfn.XLOOKUP(A10,A3:E3,A6:E6)</f>
        <v>41192</v>
      </c>
      <c r="C10" s="19" t="s">
        <v>58</v>
      </c>
      <c r="D10" s="20"/>
      <c r="E10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77BE-7A6C-4FCC-8BB3-9B4023B3E4D7}">
  <dimension ref="A1:E13"/>
  <sheetViews>
    <sheetView workbookViewId="0">
      <selection activeCell="C16" sqref="C16"/>
    </sheetView>
  </sheetViews>
  <sheetFormatPr defaultRowHeight="14.5" x14ac:dyDescent="0.35"/>
  <cols>
    <col min="1" max="1" width="40.08984375" bestFit="1" customWidth="1"/>
    <col min="2" max="2" width="7.26953125" bestFit="1" customWidth="1"/>
    <col min="3" max="3" width="19.36328125" bestFit="1" customWidth="1"/>
    <col min="4" max="4" width="7.26953125" bestFit="1" customWidth="1"/>
    <col min="5" max="5" width="14.26953125" bestFit="1" customWidth="1"/>
  </cols>
  <sheetData>
    <row r="1" spans="1:5" x14ac:dyDescent="0.35">
      <c r="A1" s="37" t="s">
        <v>74</v>
      </c>
      <c r="B1" s="20"/>
      <c r="C1" s="20"/>
      <c r="D1" s="20"/>
      <c r="E1" s="20"/>
    </row>
    <row r="2" spans="1:5" ht="15" thickBot="1" x14ac:dyDescent="0.4">
      <c r="A2" s="20"/>
      <c r="B2" s="20"/>
      <c r="C2" s="20"/>
      <c r="D2" s="20"/>
      <c r="E2" s="20"/>
    </row>
    <row r="3" spans="1:5" x14ac:dyDescent="0.35">
      <c r="A3" s="28" t="s">
        <v>60</v>
      </c>
      <c r="B3" s="29" t="s">
        <v>61</v>
      </c>
      <c r="C3" s="29" t="s">
        <v>62</v>
      </c>
      <c r="D3" s="29" t="s">
        <v>63</v>
      </c>
      <c r="E3" s="30" t="s">
        <v>64</v>
      </c>
    </row>
    <row r="4" spans="1:5" x14ac:dyDescent="0.35">
      <c r="A4" s="24" t="s">
        <v>65</v>
      </c>
      <c r="B4" s="31">
        <v>174310</v>
      </c>
      <c r="C4" s="31">
        <v>139722</v>
      </c>
      <c r="D4" s="31">
        <v>154988</v>
      </c>
      <c r="E4" s="32">
        <v>181816</v>
      </c>
    </row>
    <row r="5" spans="1:5" x14ac:dyDescent="0.35">
      <c r="A5" s="24" t="s">
        <v>66</v>
      </c>
      <c r="B5" s="31">
        <v>112921</v>
      </c>
      <c r="C5" s="31">
        <v>112466</v>
      </c>
      <c r="D5" s="31">
        <v>113796</v>
      </c>
      <c r="E5" s="32">
        <v>101873</v>
      </c>
    </row>
    <row r="6" spans="1:5" ht="15" thickBot="1" x14ac:dyDescent="0.4">
      <c r="A6" s="33" t="s">
        <v>67</v>
      </c>
      <c r="B6" s="34">
        <v>61389</v>
      </c>
      <c r="C6" s="34">
        <v>27256</v>
      </c>
      <c r="D6" s="34">
        <v>41192</v>
      </c>
      <c r="E6" s="35">
        <v>79943</v>
      </c>
    </row>
    <row r="7" spans="1:5" x14ac:dyDescent="0.35">
      <c r="A7" s="20"/>
      <c r="B7" s="20"/>
      <c r="C7" s="20"/>
      <c r="D7" s="20"/>
      <c r="E7" s="20"/>
    </row>
    <row r="8" spans="1:5" x14ac:dyDescent="0.35">
      <c r="A8" s="20" t="s">
        <v>67</v>
      </c>
      <c r="B8" s="20">
        <f>VLOOKUP(A8,A4:E6,3,FALSE)</f>
        <v>27256</v>
      </c>
      <c r="C8" s="20"/>
      <c r="D8" s="20"/>
      <c r="E8" s="20"/>
    </row>
    <row r="9" spans="1:5" x14ac:dyDescent="0.35">
      <c r="A9" s="20"/>
      <c r="B9" s="20"/>
      <c r="C9" s="20"/>
      <c r="D9" s="20"/>
      <c r="E9" s="20"/>
    </row>
    <row r="10" spans="1:5" x14ac:dyDescent="0.35">
      <c r="A10" s="27" t="s">
        <v>63</v>
      </c>
      <c r="B10" s="36">
        <f>VLOOKUP("Gross Profit",A3:E6,4,FALSE)</f>
        <v>41192</v>
      </c>
      <c r="C10" s="19" t="s">
        <v>58</v>
      </c>
      <c r="D10" s="43" t="s">
        <v>75</v>
      </c>
      <c r="E10" s="44"/>
    </row>
    <row r="11" spans="1:5" x14ac:dyDescent="0.35">
      <c r="C11" s="19"/>
      <c r="D11" s="20"/>
      <c r="E11" s="20"/>
    </row>
    <row r="13" spans="1:5" x14ac:dyDescent="0.35">
      <c r="A13" s="27" t="s">
        <v>62</v>
      </c>
      <c r="B13">
        <f>HLOOKUP(A13,A3:E6,4,FALSE)</f>
        <v>27256</v>
      </c>
      <c r="C13" s="19" t="s">
        <v>58</v>
      </c>
      <c r="D13" s="44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C4AE-BDA8-41A0-BC24-03C48E4AACB2}">
  <dimension ref="A1:E16"/>
  <sheetViews>
    <sheetView workbookViewId="0">
      <selection activeCell="B15" sqref="B15"/>
    </sheetView>
  </sheetViews>
  <sheetFormatPr defaultRowHeight="14.5" x14ac:dyDescent="0.35"/>
  <cols>
    <col min="1" max="1" width="19.54296875" style="41" customWidth="1"/>
    <col min="2" max="2" width="11.08984375" bestFit="1" customWidth="1"/>
  </cols>
  <sheetData>
    <row r="1" spans="1:5" x14ac:dyDescent="0.35">
      <c r="A1" s="40" t="s">
        <v>68</v>
      </c>
      <c r="B1" s="8"/>
      <c r="C1" s="8"/>
      <c r="D1" s="8"/>
      <c r="E1" s="8"/>
    </row>
    <row r="2" spans="1:5" x14ac:dyDescent="0.35">
      <c r="A2" s="40"/>
      <c r="B2" s="8"/>
      <c r="C2" s="8"/>
      <c r="D2" s="8"/>
      <c r="E2" s="8"/>
    </row>
    <row r="3" spans="1:5" x14ac:dyDescent="0.35">
      <c r="A3" s="40" t="s">
        <v>69</v>
      </c>
      <c r="B3" s="8" t="s">
        <v>70</v>
      </c>
      <c r="C3" s="8"/>
      <c r="D3" s="8"/>
      <c r="E3" s="8"/>
    </row>
    <row r="4" spans="1:5" x14ac:dyDescent="0.35">
      <c r="A4" s="40">
        <v>43831</v>
      </c>
      <c r="B4" s="8">
        <v>105</v>
      </c>
      <c r="C4" s="8"/>
      <c r="D4" s="8"/>
      <c r="E4" s="8"/>
    </row>
    <row r="5" spans="1:5" x14ac:dyDescent="0.35">
      <c r="A5" s="40">
        <v>43832</v>
      </c>
      <c r="B5" s="8">
        <v>104</v>
      </c>
      <c r="C5" s="8"/>
      <c r="D5" s="8"/>
      <c r="E5" s="8"/>
    </row>
    <row r="6" spans="1:5" x14ac:dyDescent="0.35">
      <c r="A6" s="40">
        <v>43833</v>
      </c>
      <c r="B6" s="8">
        <v>106</v>
      </c>
      <c r="C6" s="8"/>
      <c r="D6" s="8"/>
      <c r="E6" s="8"/>
    </row>
    <row r="7" spans="1:5" x14ac:dyDescent="0.35">
      <c r="A7" s="40">
        <v>43835</v>
      </c>
      <c r="B7" s="8">
        <v>107</v>
      </c>
      <c r="C7" s="8"/>
      <c r="D7" s="8"/>
      <c r="E7" s="8"/>
    </row>
    <row r="8" spans="1:5" x14ac:dyDescent="0.35">
      <c r="A8" s="40">
        <v>43836</v>
      </c>
      <c r="B8" s="8">
        <v>103</v>
      </c>
      <c r="C8" s="8"/>
      <c r="D8" s="8"/>
      <c r="E8" s="8"/>
    </row>
    <row r="9" spans="1:5" x14ac:dyDescent="0.35">
      <c r="A9" s="40">
        <v>43837</v>
      </c>
      <c r="B9" s="8">
        <v>102</v>
      </c>
      <c r="C9" s="8"/>
      <c r="D9" s="8"/>
      <c r="E9" s="8"/>
    </row>
    <row r="10" spans="1:5" x14ac:dyDescent="0.35">
      <c r="A10" s="40"/>
      <c r="B10" s="8"/>
      <c r="C10" s="8"/>
      <c r="D10" s="8"/>
      <c r="E10" s="8"/>
    </row>
    <row r="11" spans="1:5" x14ac:dyDescent="0.35">
      <c r="A11" s="40"/>
      <c r="B11" s="8"/>
      <c r="C11" s="8"/>
      <c r="D11" s="8"/>
      <c r="E11" s="8"/>
    </row>
    <row r="12" spans="1:5" x14ac:dyDescent="0.35">
      <c r="A12" s="40" t="s">
        <v>69</v>
      </c>
      <c r="B12" s="42">
        <v>43834</v>
      </c>
      <c r="C12" s="8"/>
      <c r="D12" s="8"/>
      <c r="E12" s="8"/>
    </row>
    <row r="13" spans="1:5" x14ac:dyDescent="0.35">
      <c r="A13" s="40"/>
      <c r="B13" s="8"/>
      <c r="C13" s="8"/>
      <c r="D13" s="8"/>
      <c r="E13" s="8"/>
    </row>
    <row r="14" spans="1:5" x14ac:dyDescent="0.35">
      <c r="A14" s="40" t="s">
        <v>71</v>
      </c>
      <c r="B14" s="18">
        <f>_xlfn.XLOOKUP(B12,A4:A9,B4:B9,,-1)</f>
        <v>106</v>
      </c>
      <c r="C14" s="7" t="s">
        <v>58</v>
      </c>
      <c r="D14" s="8"/>
      <c r="E14" s="8"/>
    </row>
    <row r="15" spans="1:5" x14ac:dyDescent="0.35">
      <c r="A15" s="40" t="s">
        <v>72</v>
      </c>
      <c r="B15" s="18">
        <f>_xlfn.XLOOKUP(B12,A4:A9,B4:B9,,1)</f>
        <v>107</v>
      </c>
      <c r="C15" s="7" t="s">
        <v>58</v>
      </c>
      <c r="D15" s="8"/>
      <c r="E15" s="8"/>
    </row>
    <row r="16" spans="1:5" x14ac:dyDescent="0.35">
      <c r="A16" s="40"/>
      <c r="B16" s="8"/>
      <c r="C16" s="8"/>
      <c r="D16" s="8"/>
      <c r="E16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EB98-2DFA-43D1-9915-B9286E91D996}">
  <dimension ref="A1:E16"/>
  <sheetViews>
    <sheetView workbookViewId="0">
      <selection activeCell="B14" sqref="B14"/>
    </sheetView>
  </sheetViews>
  <sheetFormatPr defaultRowHeight="14.5" x14ac:dyDescent="0.35"/>
  <cols>
    <col min="1" max="1" width="15.453125" style="41" customWidth="1"/>
    <col min="2" max="2" width="14" customWidth="1"/>
  </cols>
  <sheetData>
    <row r="1" spans="1:5" x14ac:dyDescent="0.35">
      <c r="A1" s="40" t="s">
        <v>68</v>
      </c>
      <c r="B1" s="8"/>
      <c r="C1" s="8"/>
      <c r="D1" s="8"/>
      <c r="E1" s="8"/>
    </row>
    <row r="2" spans="1:5" x14ac:dyDescent="0.35">
      <c r="A2" s="40" t="s">
        <v>69</v>
      </c>
      <c r="B2" s="8" t="s">
        <v>70</v>
      </c>
      <c r="C2" s="8"/>
      <c r="D2" s="8"/>
      <c r="E2" s="8"/>
    </row>
    <row r="3" spans="1:5" x14ac:dyDescent="0.35">
      <c r="A3" s="40">
        <v>43831</v>
      </c>
      <c r="B3" s="8">
        <v>105</v>
      </c>
    </row>
    <row r="4" spans="1:5" x14ac:dyDescent="0.35">
      <c r="A4" s="40">
        <v>43832</v>
      </c>
      <c r="B4" s="8">
        <v>104</v>
      </c>
      <c r="C4" s="8"/>
      <c r="D4" s="8"/>
      <c r="E4" s="8"/>
    </row>
    <row r="5" spans="1:5" x14ac:dyDescent="0.35">
      <c r="A5" s="40">
        <v>43833</v>
      </c>
      <c r="B5" s="8">
        <v>106</v>
      </c>
      <c r="C5" s="8"/>
      <c r="D5" s="8"/>
      <c r="E5" s="8"/>
    </row>
    <row r="6" spans="1:5" x14ac:dyDescent="0.35">
      <c r="A6" s="40">
        <v>43835</v>
      </c>
      <c r="B6" s="8">
        <v>107</v>
      </c>
      <c r="C6" s="8"/>
      <c r="D6" s="8"/>
      <c r="E6" s="8"/>
    </row>
    <row r="7" spans="1:5" x14ac:dyDescent="0.35">
      <c r="A7" s="40">
        <v>43836</v>
      </c>
      <c r="B7" s="8">
        <v>103</v>
      </c>
      <c r="C7" s="8"/>
      <c r="D7" s="8"/>
      <c r="E7" s="8"/>
    </row>
    <row r="8" spans="1:5" x14ac:dyDescent="0.35">
      <c r="A8" s="40">
        <v>43837</v>
      </c>
      <c r="B8" s="8">
        <v>102</v>
      </c>
      <c r="C8" s="8"/>
      <c r="D8" s="8"/>
      <c r="E8" s="8"/>
    </row>
    <row r="9" spans="1:5" x14ac:dyDescent="0.35">
      <c r="A9" s="40"/>
      <c r="B9" s="8"/>
      <c r="C9" s="8"/>
      <c r="D9" s="8"/>
      <c r="E9" s="8"/>
    </row>
    <row r="10" spans="1:5" x14ac:dyDescent="0.35">
      <c r="A10" s="40"/>
      <c r="B10" s="8"/>
      <c r="C10" s="8"/>
      <c r="D10" s="8"/>
      <c r="E10" s="8"/>
    </row>
    <row r="11" spans="1:5" x14ac:dyDescent="0.35">
      <c r="A11" s="40" t="s">
        <v>69</v>
      </c>
      <c r="B11" s="42">
        <v>43834</v>
      </c>
      <c r="C11" s="8"/>
      <c r="D11" s="8"/>
      <c r="E11" s="8"/>
    </row>
    <row r="12" spans="1:5" x14ac:dyDescent="0.35">
      <c r="A12" s="40"/>
      <c r="B12" s="8"/>
      <c r="C12" s="8"/>
      <c r="D12" s="8"/>
      <c r="E12" s="8"/>
    </row>
    <row r="13" spans="1:5" x14ac:dyDescent="0.35">
      <c r="A13" s="40" t="s">
        <v>71</v>
      </c>
      <c r="B13" s="18">
        <f>VLOOKUP(B11,A3:B8,2,TRUE)</f>
        <v>106</v>
      </c>
      <c r="C13" s="8"/>
      <c r="D13" s="8"/>
      <c r="E13" s="8"/>
    </row>
    <row r="14" spans="1:5" x14ac:dyDescent="0.35">
      <c r="A14" s="40" t="s">
        <v>72</v>
      </c>
      <c r="B14" s="18">
        <f>VLOOKUP(B11+1,A3:B8,2,FALSE)</f>
        <v>107</v>
      </c>
      <c r="C14" s="7" t="s">
        <v>58</v>
      </c>
      <c r="D14" s="8"/>
      <c r="E14" s="8"/>
    </row>
    <row r="15" spans="1:5" x14ac:dyDescent="0.35">
      <c r="A15" s="40"/>
      <c r="B15" s="38"/>
      <c r="C15" s="7"/>
      <c r="D15" s="8"/>
      <c r="E15" s="8"/>
    </row>
    <row r="16" spans="1:5" x14ac:dyDescent="0.35">
      <c r="B16" s="39"/>
      <c r="C16" s="8"/>
      <c r="D16" s="8"/>
      <c r="E16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XLOOKUP1</vt:lpstr>
      <vt:lpstr>VLOOKUP1</vt:lpstr>
      <vt:lpstr>XLOOKUP2</vt:lpstr>
      <vt:lpstr>VLOOKUP2</vt:lpstr>
      <vt:lpstr>XLOOKUP3</vt:lpstr>
      <vt:lpstr>VLOOKUP3</vt:lpstr>
      <vt:lpstr>VLOOKUP4</vt:lpstr>
      <vt:lpstr>XLOOKUP4</vt:lpstr>
      <vt:lpstr>XLOOKUP5</vt:lpstr>
      <vt:lpstr>VLOOKUP5</vt:lpstr>
      <vt:lpstr>XLOOKUP6</vt:lpstr>
      <vt:lpstr>VLOOKUP6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Dita Rachmawati</dc:creator>
  <cp:lastModifiedBy>Menaka Basu</cp:lastModifiedBy>
  <dcterms:created xsi:type="dcterms:W3CDTF">2024-04-23T07:06:42Z</dcterms:created>
  <dcterms:modified xsi:type="dcterms:W3CDTF">2026-01-25T18:42:44Z</dcterms:modified>
</cp:coreProperties>
</file>